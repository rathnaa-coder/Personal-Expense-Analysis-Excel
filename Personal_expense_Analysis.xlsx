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hidePivotFieldList="1"/>
  <mc:AlternateContent xmlns:mc="http://schemas.openxmlformats.org/markup-compatibility/2006">
    <mc:Choice Requires="x15">
      <x15ac:absPath xmlns:x15ac="http://schemas.microsoft.com/office/spreadsheetml/2010/11/ac" url="C:\Users\Rathnaa K\Downloads\"/>
    </mc:Choice>
  </mc:AlternateContent>
  <xr:revisionPtr revIDLastSave="0" documentId="13_ncr:1_{7DA99355-D5C6-4A9A-B6BA-219BD1EF1CD0}" xr6:coauthVersionLast="47" xr6:coauthVersionMax="47" xr10:uidLastSave="{00000000-0000-0000-0000-000000000000}"/>
  <bookViews>
    <workbookView xWindow="-108" yWindow="-108" windowWidth="23256" windowHeight="12456" activeTab="2" xr2:uid="{00000000-000D-0000-FFFF-FFFF00000000}"/>
  </bookViews>
  <sheets>
    <sheet name="Raw_Data" sheetId="1" r:id="rId1"/>
    <sheet name="Analysis" sheetId="6" r:id="rId2"/>
    <sheet name="Dashboard" sheetId="5" r:id="rId3"/>
  </sheets>
  <definedNames>
    <definedName name="Slicer_Day">#N/A</definedName>
  </definedNames>
  <calcPr calcId="191029"/>
  <pivotCaches>
    <pivotCache cacheId="0" r:id="rId4"/>
  </pivotCaches>
  <extLst>
    <ext xmlns:x14="http://schemas.microsoft.com/office/spreadsheetml/2009/9/main" uri="{BBE1A952-AA13-448e-AADC-164F8A28A991}">
      <x14:slicerCaches>
        <x14:slicerCache r:id="rId5"/>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F2" i="1" l="1"/>
  <c r="F3" i="1"/>
  <c r="F4" i="1"/>
  <c r="F5" i="1"/>
  <c r="F6" i="1"/>
  <c r="F7" i="1"/>
  <c r="F8" i="1"/>
  <c r="F9" i="1"/>
  <c r="F10" i="1"/>
  <c r="F11" i="1"/>
  <c r="F12" i="1"/>
  <c r="F13" i="1"/>
  <c r="F14" i="1"/>
  <c r="F15" i="1"/>
  <c r="F16" i="1"/>
  <c r="F17" i="1"/>
  <c r="F18" i="1"/>
  <c r="F19" i="1"/>
  <c r="F20" i="1"/>
  <c r="F21" i="1"/>
  <c r="F22" i="1"/>
  <c r="F23" i="1"/>
  <c r="F24" i="1"/>
  <c r="F25" i="1"/>
  <c r="F26" i="1"/>
  <c r="F27" i="1"/>
  <c r="F28" i="1"/>
  <c r="F29" i="1"/>
  <c r="F30" i="1"/>
  <c r="F31" i="1"/>
</calcChain>
</file>

<file path=xl/sharedStrings.xml><?xml version="1.0" encoding="utf-8"?>
<sst xmlns="http://schemas.openxmlformats.org/spreadsheetml/2006/main" count="109" uniqueCount="42">
  <si>
    <t>Date</t>
  </si>
  <si>
    <t>Category</t>
  </si>
  <si>
    <t>Description</t>
  </si>
  <si>
    <t>Amount (INR)</t>
  </si>
  <si>
    <t>Payment Mode</t>
  </si>
  <si>
    <t>Food</t>
  </si>
  <si>
    <t>Breakfast</t>
  </si>
  <si>
    <t>UPI</t>
  </si>
  <si>
    <t>Transport</t>
  </si>
  <si>
    <t>Bus fare</t>
  </si>
  <si>
    <t>Cash</t>
  </si>
  <si>
    <t>Lunch</t>
  </si>
  <si>
    <t>Shopping</t>
  </si>
  <si>
    <t>Clothes</t>
  </si>
  <si>
    <t>Card</t>
  </si>
  <si>
    <t>Bills</t>
  </si>
  <si>
    <t>Electricity</t>
  </si>
  <si>
    <t>Dinner</t>
  </si>
  <si>
    <t>Entertainment</t>
  </si>
  <si>
    <t>Movie</t>
  </si>
  <si>
    <t>Snacks</t>
  </si>
  <si>
    <t>Auto</t>
  </si>
  <si>
    <t>Health</t>
  </si>
  <si>
    <t>Medicines</t>
  </si>
  <si>
    <t>Groceries</t>
  </si>
  <si>
    <t>Internet</t>
  </si>
  <si>
    <t>Metro</t>
  </si>
  <si>
    <t>Subscription</t>
  </si>
  <si>
    <t>Doctor Visit</t>
  </si>
  <si>
    <t>Accessories</t>
  </si>
  <si>
    <t>Fuel</t>
  </si>
  <si>
    <t>Mobile Recharge</t>
  </si>
  <si>
    <t>Games</t>
  </si>
  <si>
    <t>Cab</t>
  </si>
  <si>
    <t>Books</t>
  </si>
  <si>
    <t>Gym</t>
  </si>
  <si>
    <t>Grand Total</t>
  </si>
  <si>
    <t>Total Spending (INR)</t>
  </si>
  <si>
    <t>Day</t>
  </si>
  <si>
    <t>Personal Expense Analysis Dashboard</t>
  </si>
  <si>
    <t>Row Labels</t>
  </si>
  <si>
    <t>Sum of Amount (INR)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</si>
</sst>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quot;₹&quot;\ #,##0"/>
  </numFmts>
  <fonts count="3" x14ac:knownFonts="1">
    <font>
      <sz val="11"/>
      <color theme="1"/>
      <name val="Calibri"/>
      <family val="2"/>
      <scheme val="minor"/>
    </font>
    <font>
      <sz val="11"/>
      <color theme="1"/>
      <name val="Calibri"/>
      <family val="1"/>
      <scheme val="minor"/>
    </font>
    <font>
      <sz val="36"/>
      <color theme="0"/>
      <name val="Cambria"/>
      <family val="1"/>
      <scheme val="major"/>
    </font>
  </fonts>
  <fills count="3">
    <fill>
      <patternFill patternType="none"/>
    </fill>
    <fill>
      <patternFill patternType="gray125"/>
    </fill>
    <fill>
      <patternFill patternType="solid">
        <fgColor theme="3"/>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16">
    <xf numFmtId="0" fontId="0" fillId="0" borderId="0" xfId="0"/>
    <xf numFmtId="0" fontId="0" fillId="0" borderId="0" xfId="0" applyAlignment="1">
      <alignment horizontal="left"/>
    </xf>
    <xf numFmtId="0" fontId="0" fillId="0" borderId="0" xfId="0" applyAlignment="1">
      <alignment horizontal="center"/>
    </xf>
    <xf numFmtId="0" fontId="1" fillId="0" borderId="0" xfId="0" applyFont="1" applyAlignment="1">
      <alignment horizontal="center"/>
    </xf>
    <xf numFmtId="16" fontId="0" fillId="0" borderId="0" xfId="0" applyNumberFormat="1" applyAlignment="1">
      <alignment horizontal="left"/>
    </xf>
    <xf numFmtId="16" fontId="0" fillId="0" borderId="0" xfId="0" applyNumberFormat="1"/>
    <xf numFmtId="0" fontId="0" fillId="0" borderId="1" xfId="0" pivotButton="1" applyBorder="1"/>
    <xf numFmtId="0" fontId="0" fillId="0" borderId="1" xfId="0" applyBorder="1"/>
    <xf numFmtId="0" fontId="0" fillId="0" borderId="1" xfId="0" applyBorder="1" applyAlignment="1">
      <alignment horizontal="left"/>
    </xf>
    <xf numFmtId="164" fontId="0" fillId="0" borderId="1" xfId="0" applyNumberFormat="1" applyBorder="1"/>
    <xf numFmtId="16" fontId="0" fillId="0" borderId="0" xfId="0" applyNumberFormat="1" applyAlignment="1">
      <alignment horizontal="center" vertical="center"/>
    </xf>
    <xf numFmtId="0" fontId="0" fillId="0" borderId="0" xfId="0" applyAlignment="1">
      <alignment horizontal="center" vertical="center"/>
    </xf>
    <xf numFmtId="0" fontId="0" fillId="0" borderId="0" xfId="0" pivotButton="1"/>
    <xf numFmtId="0" fontId="2" fillId="2" borderId="0" xfId="0" applyFont="1" applyFill="1" applyAlignment="1">
      <alignment horizontal="left"/>
    </xf>
    <xf numFmtId="0" fontId="0" fillId="2" borderId="0" xfId="0" applyFill="1" applyAlignment="1">
      <alignment horizontal="center"/>
    </xf>
    <xf numFmtId="0" fontId="0" fillId="0" borderId="0" xfId="0" applyNumberFormat="1"/>
  </cellXfs>
  <cellStyles count="1">
    <cellStyle name="Normal" xfId="0" builtinId="0"/>
  </cellStyles>
  <dxfs count="229">
    <dxf>
      <numFmt numFmtId="164" formatCode="&quot;₹&quot;\ #,##0"/>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vertical style="thin">
          <color indexed="64"/>
        </vertical>
        <horizontal style="thin">
          <color indexed="64"/>
        </horizontal>
      </border>
    </dxf>
    <dxf>
      <border>
        <vertical style="thin">
          <color indexed="64"/>
        </vertical>
        <horizontal style="thin">
          <color indexed="64"/>
        </horizontal>
      </border>
    </dxf>
    <dxf>
      <border>
        <vertical style="thin">
          <color indexed="64"/>
        </vertical>
        <horizontal style="thin">
          <color indexed="64"/>
        </horizontal>
      </border>
    </dxf>
    <dxf>
      <border>
        <vertical style="thin">
          <color indexed="64"/>
        </vertical>
        <horizontal style="thin">
          <color indexed="64"/>
        </horizontal>
      </border>
    </dxf>
    <dxf>
      <border>
        <vertical style="thin">
          <color indexed="64"/>
        </vertical>
        <horizontal style="thin">
          <color indexed="64"/>
        </horizontal>
      </border>
    </dxf>
    <dxf>
      <border>
        <vertical style="thin">
          <color indexed="64"/>
        </vertical>
        <horizontal style="thin">
          <color indexed="64"/>
        </horizontal>
      </border>
    </dxf>
    <dxf>
      <numFmt numFmtId="164" formatCode="&quot;₹&quot;\ #,##0"/>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vertical style="thin">
          <color indexed="64"/>
        </vertical>
        <horizontal style="thin">
          <color indexed="64"/>
        </horizontal>
      </border>
    </dxf>
    <dxf>
      <border>
        <vertical style="thin">
          <color indexed="64"/>
        </vertical>
        <horizontal style="thin">
          <color indexed="64"/>
        </horizontal>
      </border>
    </dxf>
    <dxf>
      <border>
        <vertical style="thin">
          <color indexed="64"/>
        </vertical>
        <horizontal style="thin">
          <color indexed="64"/>
        </horizontal>
      </border>
    </dxf>
    <dxf>
      <border>
        <vertical style="thin">
          <color indexed="64"/>
        </vertical>
        <horizontal style="thin">
          <color indexed="64"/>
        </horizontal>
      </border>
    </dxf>
    <dxf>
      <border>
        <vertical style="thin">
          <color indexed="64"/>
        </vertical>
        <horizontal style="thin">
          <color indexed="64"/>
        </horizontal>
      </border>
    </dxf>
    <dxf>
      <border>
        <vertical style="thin">
          <color indexed="64"/>
        </vertical>
        <horizontal style="thin">
          <color indexed="64"/>
        </horizontal>
      </border>
    </dxf>
    <dxf>
      <numFmt numFmtId="164" formatCode="&quot;₹&quot;\ #,##0"/>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vertical style="thin">
          <color indexed="64"/>
        </vertical>
        <horizontal style="thin">
          <color indexed="64"/>
        </horizontal>
      </border>
    </dxf>
    <dxf>
      <border>
        <vertical style="thin">
          <color indexed="64"/>
        </vertical>
        <horizontal style="thin">
          <color indexed="64"/>
        </horizontal>
      </border>
    </dxf>
    <dxf>
      <border>
        <vertical style="thin">
          <color indexed="64"/>
        </vertical>
        <horizontal style="thin">
          <color indexed="64"/>
        </horizontal>
      </border>
    </dxf>
    <dxf>
      <border>
        <vertical style="thin">
          <color indexed="64"/>
        </vertical>
        <horizontal style="thin">
          <color indexed="64"/>
        </horizontal>
      </border>
    </dxf>
    <dxf>
      <border>
        <vertical style="thin">
          <color indexed="64"/>
        </vertical>
        <horizontal style="thin">
          <color indexed="64"/>
        </horizontal>
      </border>
    </dxf>
    <dxf>
      <border>
        <vertical style="thin">
          <color indexed="64"/>
        </vertical>
        <horizontal style="thin">
          <color indexed="64"/>
        </horizontal>
      </border>
    </dxf>
    <dxf>
      <numFmt numFmtId="164" formatCode="&quot;₹&quot;\ #,##0"/>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vertical style="thin">
          <color indexed="64"/>
        </vertical>
        <horizontal style="thin">
          <color indexed="64"/>
        </horizontal>
      </border>
    </dxf>
    <dxf>
      <border>
        <vertical style="thin">
          <color indexed="64"/>
        </vertical>
        <horizontal style="thin">
          <color indexed="64"/>
        </horizontal>
      </border>
    </dxf>
    <dxf>
      <border>
        <vertical style="thin">
          <color indexed="64"/>
        </vertical>
        <horizontal style="thin">
          <color indexed="64"/>
        </horizontal>
      </border>
    </dxf>
    <dxf>
      <border>
        <vertical style="thin">
          <color indexed="64"/>
        </vertical>
        <horizontal style="thin">
          <color indexed="64"/>
        </horizontal>
      </border>
    </dxf>
    <dxf>
      <border>
        <vertical style="thin">
          <color indexed="64"/>
        </vertical>
        <horizontal style="thin">
          <color indexed="64"/>
        </horizontal>
      </border>
    </dxf>
    <dxf>
      <border>
        <vertical style="thin">
          <color indexed="64"/>
        </vertical>
        <horizontal style="thin">
          <color indexed="64"/>
        </horizontal>
      </border>
    </dxf>
    <dxf>
      <numFmt numFmtId="164" formatCode="&quot;₹&quot;\ #,##0"/>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vertical style="thin">
          <color indexed="64"/>
        </vertical>
        <horizontal style="thin">
          <color indexed="64"/>
        </horizontal>
      </border>
    </dxf>
    <dxf>
      <border>
        <vertical style="thin">
          <color indexed="64"/>
        </vertical>
        <horizontal style="thin">
          <color indexed="64"/>
        </horizontal>
      </border>
    </dxf>
    <dxf>
      <border>
        <vertical style="thin">
          <color indexed="64"/>
        </vertical>
        <horizontal style="thin">
          <color indexed="64"/>
        </horizontal>
      </border>
    </dxf>
    <dxf>
      <border>
        <vertical style="thin">
          <color indexed="64"/>
        </vertical>
        <horizontal style="thin">
          <color indexed="64"/>
        </horizontal>
      </border>
    </dxf>
    <dxf>
      <border>
        <vertical style="thin">
          <color indexed="64"/>
        </vertical>
        <horizontal style="thin">
          <color indexed="64"/>
        </horizontal>
      </border>
    </dxf>
    <dxf>
      <border>
        <vertical style="thin">
          <color indexed="64"/>
        </vertical>
        <horizontal style="thin">
          <color indexed="64"/>
        </horizontal>
      </border>
    </dxf>
    <dxf>
      <numFmt numFmtId="164" formatCode="&quot;₹&quot;\ #,##0"/>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vertical style="thin">
          <color indexed="64"/>
        </vertical>
        <horizontal style="thin">
          <color indexed="64"/>
        </horizontal>
      </border>
    </dxf>
    <dxf>
      <border>
        <vertical style="thin">
          <color indexed="64"/>
        </vertical>
        <horizontal style="thin">
          <color indexed="64"/>
        </horizontal>
      </border>
    </dxf>
    <dxf>
      <border>
        <vertical style="thin">
          <color indexed="64"/>
        </vertical>
        <horizontal style="thin">
          <color indexed="64"/>
        </horizontal>
      </border>
    </dxf>
    <dxf>
      <border>
        <vertical style="thin">
          <color indexed="64"/>
        </vertical>
        <horizontal style="thin">
          <color indexed="64"/>
        </horizontal>
      </border>
    </dxf>
    <dxf>
      <border>
        <vertical style="thin">
          <color indexed="64"/>
        </vertical>
        <horizontal style="thin">
          <color indexed="64"/>
        </horizontal>
      </border>
    </dxf>
    <dxf>
      <border>
        <vertical style="thin">
          <color indexed="64"/>
        </vertical>
        <horizontal style="thin">
          <color indexed="64"/>
        </horizontal>
      </border>
    </dxf>
    <dxf>
      <numFmt numFmtId="164" formatCode="&quot;₹&quot;\ #,##0"/>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vertical style="thin">
          <color indexed="64"/>
        </vertical>
        <horizontal style="thin">
          <color indexed="64"/>
        </horizontal>
      </border>
    </dxf>
    <dxf>
      <border>
        <vertical style="thin">
          <color indexed="64"/>
        </vertical>
        <horizontal style="thin">
          <color indexed="64"/>
        </horizontal>
      </border>
    </dxf>
    <dxf>
      <border>
        <vertical style="thin">
          <color indexed="64"/>
        </vertical>
        <horizontal style="thin">
          <color indexed="64"/>
        </horizontal>
      </border>
    </dxf>
    <dxf>
      <border>
        <vertical style="thin">
          <color indexed="64"/>
        </vertical>
        <horizontal style="thin">
          <color indexed="64"/>
        </horizontal>
      </border>
    </dxf>
    <dxf>
      <border>
        <vertical style="thin">
          <color indexed="64"/>
        </vertical>
        <horizontal style="thin">
          <color indexed="64"/>
        </horizontal>
      </border>
    </dxf>
    <dxf>
      <border>
        <vertical style="thin">
          <color indexed="64"/>
        </vertical>
        <horizontal style="thin">
          <color indexed="64"/>
        </horizontal>
      </border>
    </dxf>
    <dxf>
      <numFmt numFmtId="164" formatCode="&quot;₹&quot;\ #,##0"/>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vertical style="thin">
          <color indexed="64"/>
        </vertical>
        <horizontal style="thin">
          <color indexed="64"/>
        </horizontal>
      </border>
    </dxf>
    <dxf>
      <border>
        <vertical style="thin">
          <color indexed="64"/>
        </vertical>
        <horizontal style="thin">
          <color indexed="64"/>
        </horizontal>
      </border>
    </dxf>
    <dxf>
      <border>
        <vertical style="thin">
          <color indexed="64"/>
        </vertical>
        <horizontal style="thin">
          <color indexed="64"/>
        </horizontal>
      </border>
    </dxf>
    <dxf>
      <border>
        <vertical style="thin">
          <color indexed="64"/>
        </vertical>
        <horizontal style="thin">
          <color indexed="64"/>
        </horizontal>
      </border>
    </dxf>
    <dxf>
      <border>
        <vertical style="thin">
          <color indexed="64"/>
        </vertical>
        <horizontal style="thin">
          <color indexed="64"/>
        </horizontal>
      </border>
    </dxf>
    <dxf>
      <border>
        <vertical style="thin">
          <color indexed="64"/>
        </vertical>
        <horizontal style="thin">
          <color indexed="64"/>
        </horizontal>
      </border>
    </dxf>
    <dxf>
      <numFmt numFmtId="164" formatCode="&quot;₹&quot;\ #,##0"/>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vertical style="thin">
          <color indexed="64"/>
        </vertical>
        <horizontal style="thin">
          <color indexed="64"/>
        </horizontal>
      </border>
    </dxf>
    <dxf>
      <border>
        <vertical style="thin">
          <color indexed="64"/>
        </vertical>
        <horizontal style="thin">
          <color indexed="64"/>
        </horizontal>
      </border>
    </dxf>
    <dxf>
      <border>
        <vertical style="thin">
          <color indexed="64"/>
        </vertical>
        <horizontal style="thin">
          <color indexed="64"/>
        </horizontal>
      </border>
    </dxf>
    <dxf>
      <border>
        <vertical style="thin">
          <color indexed="64"/>
        </vertical>
        <horizontal style="thin">
          <color indexed="64"/>
        </horizontal>
      </border>
    </dxf>
    <dxf>
      <border>
        <vertical style="thin">
          <color indexed="64"/>
        </vertical>
        <horizontal style="thin">
          <color indexed="64"/>
        </horizontal>
      </border>
    </dxf>
    <dxf>
      <border>
        <vertical style="thin">
          <color indexed="64"/>
        </vertical>
        <horizontal style="thin">
          <color indexed="64"/>
        </horizontal>
      </border>
    </dxf>
    <dxf>
      <numFmt numFmtId="164" formatCode="&quot;₹&quot;\ #,##0"/>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vertical style="thin">
          <color indexed="64"/>
        </vertical>
        <horizontal style="thin">
          <color indexed="64"/>
        </horizontal>
      </border>
    </dxf>
    <dxf>
      <border>
        <vertical style="thin">
          <color indexed="64"/>
        </vertical>
        <horizontal style="thin">
          <color indexed="64"/>
        </horizontal>
      </border>
    </dxf>
    <dxf>
      <border>
        <vertical style="thin">
          <color indexed="64"/>
        </vertical>
        <horizontal style="thin">
          <color indexed="64"/>
        </horizontal>
      </border>
    </dxf>
    <dxf>
      <border>
        <vertical style="thin">
          <color indexed="64"/>
        </vertical>
        <horizontal style="thin">
          <color indexed="64"/>
        </horizontal>
      </border>
    </dxf>
    <dxf>
      <border>
        <vertical style="thin">
          <color indexed="64"/>
        </vertical>
        <horizontal style="thin">
          <color indexed="64"/>
        </horizontal>
      </border>
    </dxf>
    <dxf>
      <border>
        <vertical style="thin">
          <color indexed="64"/>
        </vertical>
        <horizontal style="thin">
          <color indexed="64"/>
        </horizontal>
      </border>
    </dxf>
    <dxf>
      <numFmt numFmtId="164" formatCode="&quot;₹&quot;\ #,##0"/>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vertical style="thin">
          <color indexed="64"/>
        </vertical>
        <horizontal style="thin">
          <color indexed="64"/>
        </horizontal>
      </border>
    </dxf>
    <dxf>
      <border>
        <vertical style="thin">
          <color indexed="64"/>
        </vertical>
        <horizontal style="thin">
          <color indexed="64"/>
        </horizontal>
      </border>
    </dxf>
    <dxf>
      <border>
        <vertical style="thin">
          <color indexed="64"/>
        </vertical>
        <horizontal style="thin">
          <color indexed="64"/>
        </horizontal>
      </border>
    </dxf>
    <dxf>
      <border>
        <vertical style="thin">
          <color indexed="64"/>
        </vertical>
        <horizontal style="thin">
          <color indexed="64"/>
        </horizontal>
      </border>
    </dxf>
    <dxf>
      <border>
        <vertical style="thin">
          <color indexed="64"/>
        </vertical>
        <horizontal style="thin">
          <color indexed="64"/>
        </horizontal>
      </border>
    </dxf>
    <dxf>
      <border>
        <vertical style="thin">
          <color indexed="64"/>
        </vertical>
        <horizontal style="thin">
          <color indexed="64"/>
        </horizontal>
      </border>
    </dxf>
    <dxf>
      <numFmt numFmtId="164" formatCode="&quot;₹&quot;\ #,##0"/>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vertical style="thin">
          <color indexed="64"/>
        </vertical>
        <horizontal style="thin">
          <color indexed="64"/>
        </horizontal>
      </border>
    </dxf>
    <dxf>
      <border>
        <vertical style="thin">
          <color indexed="64"/>
        </vertical>
        <horizontal style="thin">
          <color indexed="64"/>
        </horizontal>
      </border>
    </dxf>
    <dxf>
      <border>
        <vertical style="thin">
          <color indexed="64"/>
        </vertical>
        <horizontal style="thin">
          <color indexed="64"/>
        </horizontal>
      </border>
    </dxf>
    <dxf>
      <border>
        <vertical style="thin">
          <color indexed="64"/>
        </vertical>
        <horizontal style="thin">
          <color indexed="64"/>
        </horizontal>
      </border>
    </dxf>
    <dxf>
      <border>
        <vertical style="thin">
          <color indexed="64"/>
        </vertical>
        <horizontal style="thin">
          <color indexed="64"/>
        </horizontal>
      </border>
    </dxf>
    <dxf>
      <border>
        <vertical style="thin">
          <color indexed="64"/>
        </vertical>
        <horizontal style="thin">
          <color indexed="64"/>
        </horizontal>
      </border>
    </dxf>
    <dxf>
      <numFmt numFmtId="164" formatCode="&quot;₹&quot;\ #,##0"/>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vertical style="thin">
          <color indexed="64"/>
        </vertical>
        <horizontal style="thin">
          <color indexed="64"/>
        </horizontal>
      </border>
    </dxf>
    <dxf>
      <border>
        <vertical style="thin">
          <color indexed="64"/>
        </vertical>
        <horizontal style="thin">
          <color indexed="64"/>
        </horizontal>
      </border>
    </dxf>
    <dxf>
      <border>
        <vertical style="thin">
          <color indexed="64"/>
        </vertical>
        <horizontal style="thin">
          <color indexed="64"/>
        </horizontal>
      </border>
    </dxf>
    <dxf>
      <border>
        <vertical style="thin">
          <color indexed="64"/>
        </vertical>
        <horizontal style="thin">
          <color indexed="64"/>
        </horizontal>
      </border>
    </dxf>
    <dxf>
      <border>
        <vertical style="thin">
          <color indexed="64"/>
        </vertical>
        <horizontal style="thin">
          <color indexed="64"/>
        </horizontal>
      </border>
    </dxf>
    <dxf>
      <border>
        <vertical style="thin">
          <color indexed="64"/>
        </vertical>
        <horizontal style="thin">
          <color indexed="64"/>
        </horizontal>
      </border>
    </dxf>
    <dxf>
      <numFmt numFmtId="164" formatCode="&quot;₹&quot;\ #,##0"/>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vertical style="thin">
          <color indexed="64"/>
        </vertical>
        <horizontal style="thin">
          <color indexed="64"/>
        </horizontal>
      </border>
    </dxf>
    <dxf>
      <border>
        <vertical style="thin">
          <color indexed="64"/>
        </vertical>
        <horizontal style="thin">
          <color indexed="64"/>
        </horizontal>
      </border>
    </dxf>
    <dxf>
      <border>
        <vertical style="thin">
          <color indexed="64"/>
        </vertical>
        <horizontal style="thin">
          <color indexed="64"/>
        </horizontal>
      </border>
    </dxf>
    <dxf>
      <border>
        <vertical style="thin">
          <color indexed="64"/>
        </vertical>
        <horizontal style="thin">
          <color indexed="64"/>
        </horizontal>
      </border>
    </dxf>
    <dxf>
      <border>
        <vertical style="thin">
          <color indexed="64"/>
        </vertical>
        <horizontal style="thin">
          <color indexed="64"/>
        </horizontal>
      </border>
    </dxf>
    <dxf>
      <border>
        <vertical style="thin">
          <color indexed="64"/>
        </vertical>
        <horizontal style="thin">
          <color indexed="64"/>
        </horizontal>
      </border>
    </dxf>
    <dxf>
      <numFmt numFmtId="164" formatCode="&quot;₹&quot;\ #,##0"/>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vertical style="thin">
          <color indexed="64"/>
        </vertical>
        <horizontal style="thin">
          <color indexed="64"/>
        </horizontal>
      </border>
    </dxf>
    <dxf>
      <border>
        <vertical style="thin">
          <color indexed="64"/>
        </vertical>
        <horizontal style="thin">
          <color indexed="64"/>
        </horizontal>
      </border>
    </dxf>
    <dxf>
      <border>
        <vertical style="thin">
          <color indexed="64"/>
        </vertical>
        <horizontal style="thin">
          <color indexed="64"/>
        </horizontal>
      </border>
    </dxf>
    <dxf>
      <border>
        <vertical style="thin">
          <color indexed="64"/>
        </vertical>
        <horizontal style="thin">
          <color indexed="64"/>
        </horizontal>
      </border>
    </dxf>
    <dxf>
      <border>
        <vertical style="thin">
          <color indexed="64"/>
        </vertical>
        <horizontal style="thin">
          <color indexed="64"/>
        </horizontal>
      </border>
    </dxf>
    <dxf>
      <border>
        <vertical style="thin">
          <color indexed="64"/>
        </vertical>
        <horizontal style="thin">
          <color indexed="64"/>
        </horizontal>
      </border>
    </dxf>
    <dxf>
      <numFmt numFmtId="164" formatCode="&quot;₹&quot;\ #,##0"/>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vertical style="thin">
          <color indexed="64"/>
        </vertical>
        <horizontal style="thin">
          <color indexed="64"/>
        </horizontal>
      </border>
    </dxf>
    <dxf>
      <border>
        <vertical style="thin">
          <color indexed="64"/>
        </vertical>
        <horizontal style="thin">
          <color indexed="64"/>
        </horizontal>
      </border>
    </dxf>
    <dxf>
      <border>
        <vertical style="thin">
          <color indexed="64"/>
        </vertical>
        <horizontal style="thin">
          <color indexed="64"/>
        </horizontal>
      </border>
    </dxf>
    <dxf>
      <border>
        <vertical style="thin">
          <color indexed="64"/>
        </vertical>
        <horizontal style="thin">
          <color indexed="64"/>
        </horizontal>
      </border>
    </dxf>
    <dxf>
      <border>
        <vertical style="thin">
          <color indexed="64"/>
        </vertical>
        <horizontal style="thin">
          <color indexed="64"/>
        </horizontal>
      </border>
    </dxf>
    <dxf>
      <border>
        <vertical style="thin">
          <color indexed="64"/>
        </vertical>
        <horizontal style="thin">
          <color indexed="64"/>
        </horizontal>
      </border>
    </dxf>
    <dxf>
      <border>
        <vertical style="thin">
          <color indexed="64"/>
        </vertical>
        <horizontal style="thin">
          <color indexed="64"/>
        </horizontal>
      </border>
    </dxf>
    <dxf>
      <border>
        <vertical style="thin">
          <color indexed="64"/>
        </vertical>
        <horizontal style="thin">
          <color indexed="64"/>
        </horizontal>
      </border>
    </dxf>
    <dxf>
      <border>
        <vertical style="thin">
          <color indexed="64"/>
        </vertical>
        <horizontal style="thin">
          <color indexed="64"/>
        </horizontal>
      </border>
    </dxf>
    <dxf>
      <border>
        <vertical style="thin">
          <color indexed="64"/>
        </vertical>
        <horizontal style="thin">
          <color indexed="64"/>
        </horizontal>
      </border>
    </dxf>
    <dxf>
      <border>
        <vertical style="thin">
          <color indexed="64"/>
        </vertical>
        <horizontal style="thin">
          <color indexed="64"/>
        </horizontal>
      </border>
    </dxf>
    <dxf>
      <border>
        <vertical style="thin">
          <color indexed="64"/>
        </vertical>
        <horizontal style="thin">
          <color indexed="64"/>
        </horizontal>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numFmt numFmtId="164" formatCode="&quot;₹&quot;\ #,##0"/>
    </dxf>
    <dxf>
      <numFmt numFmtId="0" formatCode="General"/>
      <alignment horizontal="left" vertical="bottom" textRotation="0" wrapText="0" indent="0" justifyLastLine="0" shrinkToFit="0" readingOrder="0"/>
    </dxf>
    <dxf>
      <alignment horizontal="left" vertical="bottom" textRotation="0" wrapText="0" indent="0" justifyLastLine="0" shrinkToFit="0" readingOrder="0"/>
    </dxf>
    <dxf>
      <alignment horizontal="left" vertical="bottom" textRotation="0" wrapText="0" indent="0" justifyLastLine="0" shrinkToFit="0" readingOrder="0"/>
    </dxf>
    <dxf>
      <alignment horizontal="left" vertical="bottom" textRotation="0" wrapText="0" indent="0" justifyLastLine="0" shrinkToFit="0" readingOrder="0"/>
    </dxf>
    <dxf>
      <alignment horizontal="left" vertical="bottom" textRotation="0" wrapText="0" indent="0" justifyLastLine="0" shrinkToFit="0" readingOrder="0"/>
    </dxf>
    <dxf>
      <numFmt numFmtId="21" formatCode="dd/mmm"/>
      <alignment horizontal="left" vertical="bottom" textRotation="0" wrapText="0" indent="0" justifyLastLine="0" shrinkToFit="0" readingOrder="0"/>
    </dxf>
    <dxf>
      <alignment horizontal="left" vertical="bottom" textRotation="0" wrapText="0" indent="0" justifyLastLine="0" shrinkToFit="0" readingOrder="0"/>
    </dxf>
    <dxf>
      <alignment horizontal="center" vertical="center" textRotation="0" wrapText="0" indent="0" justifyLastLine="0" shrinkToFit="0" readingOrder="0"/>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microsoft.com/office/2007/relationships/slicerCache" Target="slicerCaches/slicerCache1.xml"/><Relationship Id="rId4" Type="http://schemas.openxmlformats.org/officeDocument/2006/relationships/pivotCacheDefinition" Target="pivotCache/pivotCacheDefinition1.xml"/><Relationship Id="rId9"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7"/>
    </mc:Choice>
    <mc:Fallback>
      <c:style val="7"/>
    </mc:Fallback>
  </mc:AlternateContent>
  <c:pivotSource>
    <c:name>[Personal_expense_Analysis.xlsx]Dashboard!PivotTable5</c:name>
    <c:fmtId val="2"/>
  </c:pivotSource>
  <c:chart>
    <c:title>
      <c:tx>
        <c:rich>
          <a:bodyPr rot="0" spcFirstLastPara="1" vertOverflow="ellipsis" vert="horz" wrap="square" anchor="ctr" anchorCtr="1"/>
          <a:lstStyle/>
          <a:p>
            <a:pPr>
              <a:defRPr sz="1600" b="1" i="0" u="none" strike="noStrike" kern="1200" cap="all" baseline="0">
                <a:solidFill>
                  <a:schemeClr val="tx2"/>
                </a:solidFill>
                <a:latin typeface="+mn-lt"/>
                <a:ea typeface="+mn-ea"/>
                <a:cs typeface="+mn-cs"/>
              </a:defRPr>
            </a:pPr>
            <a:r>
              <a:rPr lang="en-US" cap="all" baseline="0"/>
              <a:t>Spending by Category</a:t>
            </a:r>
          </a:p>
        </c:rich>
      </c:tx>
      <c:overlay val="0"/>
      <c:spPr>
        <a:noFill/>
        <a:ln>
          <a:noFill/>
        </a:ln>
        <a:effectLst/>
      </c:spPr>
      <c:txPr>
        <a:bodyPr rot="0" spcFirstLastPara="1" vertOverflow="ellipsis" vert="horz" wrap="square" anchor="ctr" anchorCtr="1"/>
        <a:lstStyle/>
        <a:p>
          <a:pPr>
            <a:defRPr sz="1600" b="1" i="0" u="none" strike="noStrike" kern="1200" cap="all" baseline="0">
              <a:solidFill>
                <a:schemeClr val="tx2"/>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dLbl>
          <c:idx val="0"/>
          <c:showLegendKey val="0"/>
          <c:showVal val="0"/>
          <c:showCatName val="0"/>
          <c:showSerName val="0"/>
          <c:showPercent val="0"/>
          <c:showBubbleSize val="0"/>
          <c:extLst>
            <c:ext xmlns:c15="http://schemas.microsoft.com/office/drawing/2012/chart" uri="{CE6537A1-D6FC-4f65-9D91-7224C49458BB}"/>
          </c:extLst>
        </c:dLbl>
      </c:pivotFmt>
      <c:pivotFmt>
        <c:idx val="5"/>
        <c:dLbl>
          <c:idx val="0"/>
          <c:showLegendKey val="0"/>
          <c:showVal val="0"/>
          <c:showCatName val="0"/>
          <c:showSerName val="0"/>
          <c:showPercent val="0"/>
          <c:showBubbleSize val="0"/>
          <c:extLst>
            <c:ext xmlns:c15="http://schemas.microsoft.com/office/drawing/2012/chart" uri="{CE6537A1-D6FC-4f65-9D91-7224C49458BB}"/>
          </c:extLst>
        </c:dLbl>
      </c:pivotFmt>
      <c:pivotFmt>
        <c:idx val="6"/>
        <c:dLbl>
          <c:idx val="0"/>
          <c:showLegendKey val="0"/>
          <c:showVal val="0"/>
          <c:showCatName val="0"/>
          <c:showSerName val="0"/>
          <c:showPercent val="0"/>
          <c:showBubbleSize val="0"/>
          <c:extLst>
            <c:ext xmlns:c15="http://schemas.microsoft.com/office/drawing/2012/chart" uri="{CE6537A1-D6FC-4f65-9D91-7224C49458BB}"/>
          </c:extLst>
        </c:dLbl>
      </c:pivotFmt>
      <c:pivotFmt>
        <c:idx val="7"/>
        <c:spPr>
          <a:gradFill rotWithShape="1">
            <a:gsLst>
              <a:gs pos="0">
                <a:schemeClr val="accent5">
                  <a:shade val="51000"/>
                  <a:satMod val="130000"/>
                </a:schemeClr>
              </a:gs>
              <a:gs pos="80000">
                <a:schemeClr val="accent5">
                  <a:shade val="93000"/>
                  <a:satMod val="130000"/>
                </a:schemeClr>
              </a:gs>
              <a:gs pos="100000">
                <a:schemeClr val="accent5">
                  <a:shade val="94000"/>
                  <a:satMod val="135000"/>
                </a:schemeClr>
              </a:gs>
            </a:gsLst>
            <a:lin ang="16200000" scaled="0"/>
          </a:gradFill>
          <a:ln>
            <a:noFill/>
          </a:ln>
          <a:effectLst>
            <a:outerShdw blurRad="40000" dist="23000" dir="5400000" rotWithShape="0">
              <a:srgbClr val="000000">
                <a:alpha val="35000"/>
              </a:srgbClr>
            </a:outerShdw>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2">
                      <a:lumMod val="7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8"/>
        <c:dLbl>
          <c:idx val="0"/>
          <c:showLegendKey val="0"/>
          <c:showVal val="0"/>
          <c:showCatName val="0"/>
          <c:showSerName val="0"/>
          <c:showPercent val="0"/>
          <c:showBubbleSize val="0"/>
          <c:extLst>
            <c:ext xmlns:c15="http://schemas.microsoft.com/office/drawing/2012/chart" uri="{CE6537A1-D6FC-4f65-9D91-7224C49458BB}"/>
          </c:extLst>
        </c:dLbl>
      </c:pivotFmt>
      <c:pivotFmt>
        <c:idx val="9"/>
        <c:dLbl>
          <c:idx val="0"/>
          <c:dLblPos val="inEnd"/>
          <c:showLegendKey val="0"/>
          <c:showVal val="0"/>
          <c:showCatName val="0"/>
          <c:showSerName val="0"/>
          <c:showPercent val="1"/>
          <c:showBubbleSize val="0"/>
          <c:extLst>
            <c:ext xmlns:c15="http://schemas.microsoft.com/office/drawing/2012/chart" uri="{CE6537A1-D6FC-4f65-9D91-7224C49458BB}"/>
          </c:extLst>
        </c:dLbl>
      </c:pivotFmt>
      <c:pivotFmt>
        <c:idx val="10"/>
        <c:dLbl>
          <c:idx val="0"/>
          <c:dLblPos val="inEnd"/>
          <c:showLegendKey val="0"/>
          <c:showVal val="0"/>
          <c:showCatName val="0"/>
          <c:showSerName val="0"/>
          <c:showPercent val="1"/>
          <c:showBubbleSize val="0"/>
          <c:extLst>
            <c:ext xmlns:c15="http://schemas.microsoft.com/office/drawing/2012/chart" uri="{CE6537A1-D6FC-4f65-9D91-7224C49458BB}"/>
          </c:extLst>
        </c:dLbl>
      </c:pivotFmt>
      <c:pivotFmt>
        <c:idx val="11"/>
        <c:dLbl>
          <c:idx val="0"/>
          <c:dLblPos val="inEnd"/>
          <c:showLegendKey val="0"/>
          <c:showVal val="0"/>
          <c:showCatName val="0"/>
          <c:showSerName val="0"/>
          <c:showPercent val="1"/>
          <c:showBubbleSize val="0"/>
          <c:extLst>
            <c:ext xmlns:c15="http://schemas.microsoft.com/office/drawing/2012/chart" uri="{CE6537A1-D6FC-4f65-9D91-7224C49458BB}"/>
          </c:extLst>
        </c:dLbl>
      </c:pivotFmt>
      <c:pivotFmt>
        <c:idx val="12"/>
        <c:dLbl>
          <c:idx val="0"/>
          <c:dLblPos val="inEnd"/>
          <c:showLegendKey val="0"/>
          <c:showVal val="0"/>
          <c:showCatName val="0"/>
          <c:showSerName val="0"/>
          <c:showPercent val="1"/>
          <c:showBubbleSize val="0"/>
          <c:extLst>
            <c:ext xmlns:c15="http://schemas.microsoft.com/office/drawing/2012/chart" uri="{CE6537A1-D6FC-4f65-9D91-7224C49458BB}"/>
          </c:extLst>
        </c:dLbl>
      </c:pivotFmt>
      <c:pivotFmt>
        <c:idx val="13"/>
        <c:dLbl>
          <c:idx val="0"/>
          <c:dLblPos val="inEnd"/>
          <c:showLegendKey val="0"/>
          <c:showVal val="0"/>
          <c:showCatName val="0"/>
          <c:showSerName val="0"/>
          <c:showPercent val="1"/>
          <c:showBubbleSize val="0"/>
          <c:extLst>
            <c:ext xmlns:c15="http://schemas.microsoft.com/office/drawing/2012/chart" uri="{CE6537A1-D6FC-4f65-9D91-7224C49458BB}"/>
          </c:extLst>
        </c:dLbl>
      </c:pivotFmt>
      <c:pivotFmt>
        <c:idx val="14"/>
        <c:dLbl>
          <c:idx val="0"/>
          <c:dLblPos val="inEnd"/>
          <c:showLegendKey val="0"/>
          <c:showVal val="0"/>
          <c:showCatName val="0"/>
          <c:showSerName val="0"/>
          <c:showPercent val="1"/>
          <c:showBubbleSize val="0"/>
          <c:extLst>
            <c:ext xmlns:c15="http://schemas.microsoft.com/office/drawing/2012/chart" uri="{CE6537A1-D6FC-4f65-9D91-7224C49458BB}"/>
          </c:extLst>
        </c:dLbl>
      </c:pivotFmt>
      <c:pivotFmt>
        <c:idx val="15"/>
        <c:dLbl>
          <c:idx val="0"/>
          <c:dLblPos val="inEnd"/>
          <c:showLegendKey val="0"/>
          <c:showVal val="0"/>
          <c:showCatName val="0"/>
          <c:showSerName val="0"/>
          <c:showPercent val="1"/>
          <c:showBubbleSize val="0"/>
          <c:extLst>
            <c:ext xmlns:c15="http://schemas.microsoft.com/office/drawing/2012/chart" uri="{CE6537A1-D6FC-4f65-9D91-7224C49458BB}"/>
          </c:extLst>
        </c:dLbl>
      </c:pivotFmt>
      <c:pivotFmt>
        <c:idx val="16"/>
        <c:dLbl>
          <c:idx val="0"/>
          <c:dLblPos val="inEnd"/>
          <c:showLegendKey val="0"/>
          <c:showVal val="0"/>
          <c:showCatName val="0"/>
          <c:showSerName val="0"/>
          <c:showPercent val="1"/>
          <c:showBubbleSize val="0"/>
          <c:extLst>
            <c:ext xmlns:c15="http://schemas.microsoft.com/office/drawing/2012/chart" uri="{CE6537A1-D6FC-4f65-9D91-7224C49458BB}"/>
          </c:extLst>
        </c:dLbl>
      </c:pivotFmt>
      <c:pivotFmt>
        <c:idx val="17"/>
        <c:dLbl>
          <c:idx val="0"/>
          <c:dLblPos val="inEnd"/>
          <c:showLegendKey val="0"/>
          <c:showVal val="0"/>
          <c:showCatName val="0"/>
          <c:showSerName val="0"/>
          <c:showPercent val="1"/>
          <c:showBubbleSize val="0"/>
          <c:extLst>
            <c:ext xmlns:c15="http://schemas.microsoft.com/office/drawing/2012/chart" uri="{CE6537A1-D6FC-4f65-9D91-7224C49458BB}"/>
          </c:extLst>
        </c:dLbl>
      </c:pivotFmt>
      <c:pivotFmt>
        <c:idx val="18"/>
        <c:dLbl>
          <c:idx val="0"/>
          <c:dLblPos val="inEnd"/>
          <c:showLegendKey val="0"/>
          <c:showVal val="0"/>
          <c:showCatName val="0"/>
          <c:showSerName val="0"/>
          <c:showPercent val="1"/>
          <c:showBubbleSize val="0"/>
          <c:extLst>
            <c:ext xmlns:c15="http://schemas.microsoft.com/office/drawing/2012/chart" uri="{CE6537A1-D6FC-4f65-9D91-7224C49458BB}"/>
          </c:extLst>
        </c:dLbl>
      </c:pivotFmt>
      <c:pivotFmt>
        <c:idx val="19"/>
        <c:dLbl>
          <c:idx val="0"/>
          <c:dLblPos val="inEnd"/>
          <c:showLegendKey val="0"/>
          <c:showVal val="0"/>
          <c:showCatName val="0"/>
          <c:showSerName val="0"/>
          <c:showPercent val="1"/>
          <c:showBubbleSize val="0"/>
          <c:extLst>
            <c:ext xmlns:c15="http://schemas.microsoft.com/office/drawing/2012/chart" uri="{CE6537A1-D6FC-4f65-9D91-7224C49458BB}"/>
          </c:extLst>
        </c:dLbl>
      </c:pivotFmt>
      <c:pivotFmt>
        <c:idx val="20"/>
        <c:dLbl>
          <c:idx val="0"/>
          <c:dLblPos val="inEnd"/>
          <c:showLegendKey val="0"/>
          <c:showVal val="0"/>
          <c:showCatName val="0"/>
          <c:showSerName val="0"/>
          <c:showPercent val="1"/>
          <c:showBubbleSize val="0"/>
          <c:extLst>
            <c:ext xmlns:c15="http://schemas.microsoft.com/office/drawing/2012/chart" uri="{CE6537A1-D6FC-4f65-9D91-7224C49458BB}"/>
          </c:extLst>
        </c:dLbl>
      </c:pivotFmt>
      <c:pivotFmt>
        <c:idx val="21"/>
        <c:spPr>
          <a:gradFill rotWithShape="1">
            <a:gsLst>
              <a:gs pos="0">
                <a:schemeClr val="accent5">
                  <a:tint val="70000"/>
                  <a:shade val="51000"/>
                  <a:satMod val="130000"/>
                </a:schemeClr>
              </a:gs>
              <a:gs pos="80000">
                <a:schemeClr val="accent5">
                  <a:tint val="70000"/>
                  <a:shade val="93000"/>
                  <a:satMod val="130000"/>
                </a:schemeClr>
              </a:gs>
              <a:gs pos="100000">
                <a:schemeClr val="accent5">
                  <a:tint val="70000"/>
                  <a:shade val="94000"/>
                  <a:satMod val="135000"/>
                </a:schemeClr>
              </a:gs>
            </a:gsLst>
            <a:lin ang="16200000" scaled="0"/>
          </a:gradFill>
          <a:ln>
            <a:noFill/>
          </a:ln>
          <a:effectLst>
            <a:outerShdw blurRad="40000" dist="23000" dir="5400000" rotWithShape="0">
              <a:srgbClr val="000000">
                <a:alpha val="35000"/>
              </a:srgbClr>
            </a:outerShdw>
          </a:effectLst>
        </c:spPr>
      </c:pivotFmt>
      <c:pivotFmt>
        <c:idx val="22"/>
        <c:spPr>
          <a:gradFill rotWithShape="1">
            <a:gsLst>
              <a:gs pos="0">
                <a:schemeClr val="accent5">
                  <a:shade val="50000"/>
                  <a:shade val="51000"/>
                  <a:satMod val="130000"/>
                </a:schemeClr>
              </a:gs>
              <a:gs pos="80000">
                <a:schemeClr val="accent5">
                  <a:shade val="50000"/>
                  <a:shade val="93000"/>
                  <a:satMod val="130000"/>
                </a:schemeClr>
              </a:gs>
              <a:gs pos="100000">
                <a:schemeClr val="accent5">
                  <a:shade val="50000"/>
                  <a:shade val="94000"/>
                  <a:satMod val="135000"/>
                </a:schemeClr>
              </a:gs>
            </a:gsLst>
            <a:lin ang="16200000" scaled="0"/>
          </a:gradFill>
          <a:ln>
            <a:noFill/>
          </a:ln>
          <a:effectLst>
            <a:outerShdw blurRad="40000" dist="23000" dir="5400000" rotWithShape="0">
              <a:srgbClr val="000000">
                <a:alpha val="35000"/>
              </a:srgbClr>
            </a:outerShdw>
          </a:effectLst>
        </c:spPr>
      </c:pivotFmt>
      <c:pivotFmt>
        <c:idx val="23"/>
        <c:spPr>
          <a:gradFill rotWithShape="1">
            <a:gsLst>
              <a:gs pos="0">
                <a:schemeClr val="accent5">
                  <a:shade val="90000"/>
                  <a:shade val="51000"/>
                  <a:satMod val="130000"/>
                </a:schemeClr>
              </a:gs>
              <a:gs pos="80000">
                <a:schemeClr val="accent5">
                  <a:shade val="90000"/>
                  <a:shade val="93000"/>
                  <a:satMod val="130000"/>
                </a:schemeClr>
              </a:gs>
              <a:gs pos="100000">
                <a:schemeClr val="accent5">
                  <a:shade val="90000"/>
                  <a:shade val="94000"/>
                  <a:satMod val="135000"/>
                </a:schemeClr>
              </a:gs>
            </a:gsLst>
            <a:lin ang="16200000" scaled="0"/>
          </a:gradFill>
          <a:ln>
            <a:noFill/>
          </a:ln>
          <a:effectLst>
            <a:outerShdw blurRad="40000" dist="23000" dir="5400000" rotWithShape="0">
              <a:srgbClr val="000000">
                <a:alpha val="35000"/>
              </a:srgbClr>
            </a:outerShdw>
          </a:effectLst>
        </c:spPr>
      </c:pivotFmt>
      <c:pivotFmt>
        <c:idx val="24"/>
        <c:spPr>
          <a:gradFill rotWithShape="1">
            <a:gsLst>
              <a:gs pos="0">
                <a:schemeClr val="accent5">
                  <a:tint val="90000"/>
                  <a:shade val="51000"/>
                  <a:satMod val="130000"/>
                </a:schemeClr>
              </a:gs>
              <a:gs pos="80000">
                <a:schemeClr val="accent5">
                  <a:tint val="90000"/>
                  <a:shade val="93000"/>
                  <a:satMod val="130000"/>
                </a:schemeClr>
              </a:gs>
              <a:gs pos="100000">
                <a:schemeClr val="accent5">
                  <a:tint val="90000"/>
                  <a:shade val="94000"/>
                  <a:satMod val="135000"/>
                </a:schemeClr>
              </a:gs>
            </a:gsLst>
            <a:lin ang="16200000" scaled="0"/>
          </a:gradFill>
          <a:ln>
            <a:noFill/>
          </a:ln>
          <a:effectLst>
            <a:outerShdw blurRad="40000" dist="23000" dir="5400000" rotWithShape="0">
              <a:srgbClr val="000000">
                <a:alpha val="35000"/>
              </a:srgbClr>
            </a:outerShdw>
          </a:effectLst>
        </c:spPr>
      </c:pivotFmt>
      <c:pivotFmt>
        <c:idx val="25"/>
        <c:spPr>
          <a:gradFill rotWithShape="1">
            <a:gsLst>
              <a:gs pos="0">
                <a:schemeClr val="accent5">
                  <a:tint val="50000"/>
                  <a:shade val="51000"/>
                  <a:satMod val="130000"/>
                </a:schemeClr>
              </a:gs>
              <a:gs pos="80000">
                <a:schemeClr val="accent5">
                  <a:tint val="50000"/>
                  <a:shade val="93000"/>
                  <a:satMod val="130000"/>
                </a:schemeClr>
              </a:gs>
              <a:gs pos="100000">
                <a:schemeClr val="accent5">
                  <a:tint val="50000"/>
                  <a:shade val="94000"/>
                  <a:satMod val="135000"/>
                </a:schemeClr>
              </a:gs>
            </a:gsLst>
            <a:lin ang="16200000" scaled="0"/>
          </a:gradFill>
          <a:ln>
            <a:noFill/>
          </a:ln>
          <a:effectLst>
            <a:outerShdw blurRad="40000" dist="23000" dir="5400000" rotWithShape="0">
              <a:srgbClr val="000000">
                <a:alpha val="35000"/>
              </a:srgbClr>
            </a:outerShdw>
          </a:effectLst>
        </c:spPr>
      </c:pivotFmt>
      <c:pivotFmt>
        <c:idx val="26"/>
        <c:spPr>
          <a:gradFill rotWithShape="1">
            <a:gsLst>
              <a:gs pos="0">
                <a:schemeClr val="accent5">
                  <a:shade val="70000"/>
                  <a:shade val="51000"/>
                  <a:satMod val="130000"/>
                </a:schemeClr>
              </a:gs>
              <a:gs pos="80000">
                <a:schemeClr val="accent5">
                  <a:shade val="70000"/>
                  <a:shade val="93000"/>
                  <a:satMod val="130000"/>
                </a:schemeClr>
              </a:gs>
              <a:gs pos="100000">
                <a:schemeClr val="accent5">
                  <a:shade val="70000"/>
                  <a:shade val="94000"/>
                  <a:satMod val="135000"/>
                </a:schemeClr>
              </a:gs>
            </a:gsLst>
            <a:lin ang="16200000" scaled="0"/>
          </a:gradFill>
          <a:ln>
            <a:noFill/>
          </a:ln>
          <a:effectLst>
            <a:outerShdw blurRad="40000" dist="23000" dir="5400000" rotWithShape="0">
              <a:srgbClr val="000000">
                <a:alpha val="35000"/>
              </a:srgbClr>
            </a:outerShdw>
          </a:effectLst>
        </c:spPr>
      </c:pivotFmt>
    </c:pivotFmts>
    <c:plotArea>
      <c:layout/>
      <c:doughnutChart>
        <c:varyColors val="1"/>
        <c:ser>
          <c:idx val="0"/>
          <c:order val="0"/>
          <c:tx>
            <c:strRef>
              <c:f>Dashboard!$B$5</c:f>
              <c:strCache>
                <c:ptCount val="1"/>
                <c:pt idx="0">
                  <c:v>Total</c:v>
                </c:pt>
              </c:strCache>
            </c:strRef>
          </c:tx>
          <c:dPt>
            <c:idx val="0"/>
            <c:bubble3D val="0"/>
            <c:spPr>
              <a:gradFill rotWithShape="1">
                <a:gsLst>
                  <a:gs pos="0">
                    <a:schemeClr val="accent5">
                      <a:tint val="50000"/>
                      <a:shade val="51000"/>
                      <a:satMod val="130000"/>
                    </a:schemeClr>
                  </a:gs>
                  <a:gs pos="80000">
                    <a:schemeClr val="accent5">
                      <a:tint val="50000"/>
                      <a:shade val="93000"/>
                      <a:satMod val="130000"/>
                    </a:schemeClr>
                  </a:gs>
                  <a:gs pos="100000">
                    <a:schemeClr val="accent5">
                      <a:tint val="50000"/>
                      <a:shade val="94000"/>
                      <a:satMod val="135000"/>
                    </a:schemeClr>
                  </a:gs>
                </a:gsLst>
                <a:lin ang="16200000" scaled="0"/>
              </a:gradFill>
              <a:ln>
                <a:noFill/>
              </a:ln>
              <a:effectLst>
                <a:outerShdw blurRad="40000" dist="23000" dir="5400000" rotWithShape="0">
                  <a:srgbClr val="000000">
                    <a:alpha val="35000"/>
                  </a:srgbClr>
                </a:outerShdw>
              </a:effectLst>
            </c:spPr>
            <c:extLst>
              <c:ext xmlns:c16="http://schemas.microsoft.com/office/drawing/2014/chart" uri="{C3380CC4-5D6E-409C-BE32-E72D297353CC}">
                <c16:uniqueId val="{00000001-F692-49DB-B8A6-F666F7942CFD}"/>
              </c:ext>
            </c:extLst>
          </c:dPt>
          <c:dPt>
            <c:idx val="1"/>
            <c:bubble3D val="0"/>
            <c:spPr>
              <a:gradFill rotWithShape="1">
                <a:gsLst>
                  <a:gs pos="0">
                    <a:schemeClr val="accent5">
                      <a:tint val="70000"/>
                      <a:shade val="51000"/>
                      <a:satMod val="130000"/>
                    </a:schemeClr>
                  </a:gs>
                  <a:gs pos="80000">
                    <a:schemeClr val="accent5">
                      <a:tint val="70000"/>
                      <a:shade val="93000"/>
                      <a:satMod val="130000"/>
                    </a:schemeClr>
                  </a:gs>
                  <a:gs pos="100000">
                    <a:schemeClr val="accent5">
                      <a:tint val="70000"/>
                      <a:shade val="94000"/>
                      <a:satMod val="135000"/>
                    </a:schemeClr>
                  </a:gs>
                </a:gsLst>
                <a:lin ang="16200000" scaled="0"/>
              </a:gradFill>
              <a:ln>
                <a:noFill/>
              </a:ln>
              <a:effectLst>
                <a:outerShdw blurRad="40000" dist="23000" dir="5400000" rotWithShape="0">
                  <a:srgbClr val="000000">
                    <a:alpha val="35000"/>
                  </a:srgbClr>
                </a:outerShdw>
              </a:effectLst>
            </c:spPr>
            <c:extLst>
              <c:ext xmlns:c16="http://schemas.microsoft.com/office/drawing/2014/chart" uri="{C3380CC4-5D6E-409C-BE32-E72D297353CC}">
                <c16:uniqueId val="{00000003-F692-49DB-B8A6-F666F7942CFD}"/>
              </c:ext>
            </c:extLst>
          </c:dPt>
          <c:dPt>
            <c:idx val="2"/>
            <c:bubble3D val="0"/>
            <c:spPr>
              <a:gradFill rotWithShape="1">
                <a:gsLst>
                  <a:gs pos="0">
                    <a:schemeClr val="accent5">
                      <a:tint val="90000"/>
                      <a:shade val="51000"/>
                      <a:satMod val="130000"/>
                    </a:schemeClr>
                  </a:gs>
                  <a:gs pos="80000">
                    <a:schemeClr val="accent5">
                      <a:tint val="90000"/>
                      <a:shade val="93000"/>
                      <a:satMod val="130000"/>
                    </a:schemeClr>
                  </a:gs>
                  <a:gs pos="100000">
                    <a:schemeClr val="accent5">
                      <a:tint val="90000"/>
                      <a:shade val="94000"/>
                      <a:satMod val="135000"/>
                    </a:schemeClr>
                  </a:gs>
                </a:gsLst>
                <a:lin ang="16200000" scaled="0"/>
              </a:gradFill>
              <a:ln>
                <a:noFill/>
              </a:ln>
              <a:effectLst>
                <a:outerShdw blurRad="40000" dist="23000" dir="5400000" rotWithShape="0">
                  <a:srgbClr val="000000">
                    <a:alpha val="35000"/>
                  </a:srgbClr>
                </a:outerShdw>
              </a:effectLst>
            </c:spPr>
            <c:extLst>
              <c:ext xmlns:c16="http://schemas.microsoft.com/office/drawing/2014/chart" uri="{C3380CC4-5D6E-409C-BE32-E72D297353CC}">
                <c16:uniqueId val="{00000005-F692-49DB-B8A6-F666F7942CFD}"/>
              </c:ext>
            </c:extLst>
          </c:dPt>
          <c:dPt>
            <c:idx val="3"/>
            <c:bubble3D val="0"/>
            <c:spPr>
              <a:gradFill rotWithShape="1">
                <a:gsLst>
                  <a:gs pos="0">
                    <a:schemeClr val="accent5">
                      <a:shade val="90000"/>
                      <a:shade val="51000"/>
                      <a:satMod val="130000"/>
                    </a:schemeClr>
                  </a:gs>
                  <a:gs pos="80000">
                    <a:schemeClr val="accent5">
                      <a:shade val="90000"/>
                      <a:shade val="93000"/>
                      <a:satMod val="130000"/>
                    </a:schemeClr>
                  </a:gs>
                  <a:gs pos="100000">
                    <a:schemeClr val="accent5">
                      <a:shade val="90000"/>
                      <a:shade val="94000"/>
                      <a:satMod val="135000"/>
                    </a:schemeClr>
                  </a:gs>
                </a:gsLst>
                <a:lin ang="16200000" scaled="0"/>
              </a:gradFill>
              <a:ln>
                <a:noFill/>
              </a:ln>
              <a:effectLst>
                <a:outerShdw blurRad="40000" dist="23000" dir="5400000" rotWithShape="0">
                  <a:srgbClr val="000000">
                    <a:alpha val="35000"/>
                  </a:srgbClr>
                </a:outerShdw>
              </a:effectLst>
            </c:spPr>
            <c:extLst>
              <c:ext xmlns:c16="http://schemas.microsoft.com/office/drawing/2014/chart" uri="{C3380CC4-5D6E-409C-BE32-E72D297353CC}">
                <c16:uniqueId val="{00000007-F692-49DB-B8A6-F666F7942CFD}"/>
              </c:ext>
            </c:extLst>
          </c:dPt>
          <c:dPt>
            <c:idx val="4"/>
            <c:bubble3D val="0"/>
            <c:spPr>
              <a:gradFill rotWithShape="1">
                <a:gsLst>
                  <a:gs pos="0">
                    <a:schemeClr val="accent5">
                      <a:shade val="70000"/>
                      <a:shade val="51000"/>
                      <a:satMod val="130000"/>
                    </a:schemeClr>
                  </a:gs>
                  <a:gs pos="80000">
                    <a:schemeClr val="accent5">
                      <a:shade val="70000"/>
                      <a:shade val="93000"/>
                      <a:satMod val="130000"/>
                    </a:schemeClr>
                  </a:gs>
                  <a:gs pos="100000">
                    <a:schemeClr val="accent5">
                      <a:shade val="70000"/>
                      <a:shade val="94000"/>
                      <a:satMod val="135000"/>
                    </a:schemeClr>
                  </a:gs>
                </a:gsLst>
                <a:lin ang="16200000" scaled="0"/>
              </a:gradFill>
              <a:ln>
                <a:noFill/>
              </a:ln>
              <a:effectLst>
                <a:outerShdw blurRad="40000" dist="23000" dir="5400000" rotWithShape="0">
                  <a:srgbClr val="000000">
                    <a:alpha val="35000"/>
                  </a:srgbClr>
                </a:outerShdw>
              </a:effectLst>
            </c:spPr>
            <c:extLst>
              <c:ext xmlns:c16="http://schemas.microsoft.com/office/drawing/2014/chart" uri="{C3380CC4-5D6E-409C-BE32-E72D297353CC}">
                <c16:uniqueId val="{00000009-F692-49DB-B8A6-F666F7942CFD}"/>
              </c:ext>
            </c:extLst>
          </c:dPt>
          <c:dPt>
            <c:idx val="5"/>
            <c:bubble3D val="0"/>
            <c:spPr>
              <a:gradFill rotWithShape="1">
                <a:gsLst>
                  <a:gs pos="0">
                    <a:schemeClr val="accent5">
                      <a:shade val="50000"/>
                      <a:shade val="51000"/>
                      <a:satMod val="130000"/>
                    </a:schemeClr>
                  </a:gs>
                  <a:gs pos="80000">
                    <a:schemeClr val="accent5">
                      <a:shade val="50000"/>
                      <a:shade val="93000"/>
                      <a:satMod val="130000"/>
                    </a:schemeClr>
                  </a:gs>
                  <a:gs pos="100000">
                    <a:schemeClr val="accent5">
                      <a:shade val="50000"/>
                      <a:shade val="94000"/>
                      <a:satMod val="135000"/>
                    </a:schemeClr>
                  </a:gs>
                </a:gsLst>
                <a:lin ang="16200000" scaled="0"/>
              </a:gradFill>
              <a:ln>
                <a:noFill/>
              </a:ln>
              <a:effectLst>
                <a:outerShdw blurRad="40000" dist="23000" dir="5400000" rotWithShape="0">
                  <a:srgbClr val="000000">
                    <a:alpha val="35000"/>
                  </a:srgbClr>
                </a:outerShdw>
              </a:effectLst>
            </c:spPr>
            <c:extLst>
              <c:ext xmlns:c16="http://schemas.microsoft.com/office/drawing/2014/chart" uri="{C3380CC4-5D6E-409C-BE32-E72D297353CC}">
                <c16:uniqueId val="{0000000B-F692-49DB-B8A6-F666F7942CFD}"/>
              </c:ext>
            </c:extLst>
          </c:dPt>
          <c:dLbls>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2">
                        <a:lumMod val="75000"/>
                      </a:schemeClr>
                    </a:solidFill>
                    <a:latin typeface="+mn-lt"/>
                    <a:ea typeface="+mn-ea"/>
                    <a:cs typeface="+mn-cs"/>
                  </a:defRPr>
                </a:pPr>
                <a:endParaRPr lang="en-US"/>
              </a:p>
            </c:txPr>
            <c:showLegendKey val="0"/>
            <c:showVal val="0"/>
            <c:showCatName val="0"/>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Dashboard!$A$6:$A$12</c:f>
              <c:strCache>
                <c:ptCount val="6"/>
                <c:pt idx="0">
                  <c:v>Shopping</c:v>
                </c:pt>
                <c:pt idx="1">
                  <c:v>Bills</c:v>
                </c:pt>
                <c:pt idx="2">
                  <c:v>Health</c:v>
                </c:pt>
                <c:pt idx="3">
                  <c:v>Food</c:v>
                </c:pt>
                <c:pt idx="4">
                  <c:v>Transport</c:v>
                </c:pt>
                <c:pt idx="5">
                  <c:v>Entertainment</c:v>
                </c:pt>
              </c:strCache>
            </c:strRef>
          </c:cat>
          <c:val>
            <c:numRef>
              <c:f>Dashboard!$B$6:$B$12</c:f>
              <c:numCache>
                <c:formatCode>"₹"\ #,##0</c:formatCode>
                <c:ptCount val="6"/>
                <c:pt idx="0">
                  <c:v>3150</c:v>
                </c:pt>
                <c:pt idx="1">
                  <c:v>2499</c:v>
                </c:pt>
                <c:pt idx="2">
                  <c:v>2450</c:v>
                </c:pt>
                <c:pt idx="3">
                  <c:v>2350</c:v>
                </c:pt>
                <c:pt idx="4">
                  <c:v>1620</c:v>
                </c:pt>
                <c:pt idx="5">
                  <c:v>999</c:v>
                </c:pt>
              </c:numCache>
            </c:numRef>
          </c:val>
          <c:extLst>
            <c:ext xmlns:c16="http://schemas.microsoft.com/office/drawing/2014/chart" uri="{C3380CC4-5D6E-409C-BE32-E72D297353CC}">
              <c16:uniqueId val="{00000000-7B76-46CB-AF61-60219B808F3D}"/>
            </c:ext>
          </c:extLst>
        </c:ser>
        <c:dLbls>
          <c:showLegendKey val="0"/>
          <c:showVal val="1"/>
          <c:showCatName val="0"/>
          <c:showSerName val="0"/>
          <c:showPercent val="0"/>
          <c:showBubbleSize val="0"/>
          <c:showLeaderLines val="0"/>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ysClr val="windowText" lastClr="000000"/>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[Personal_expense_Analysis.xlsx]Analysis!PivotTable1</c:name>
    <c:fmtId val="3"/>
  </c:pivotSource>
  <c:chart>
    <c:title>
      <c:tx>
        <c:rich>
          <a:bodyPr rot="0" spcFirstLastPara="1" vertOverflow="ellipsis" vert="horz" wrap="square" anchor="ctr" anchorCtr="1"/>
          <a:lstStyle/>
          <a:p>
            <a:pPr>
              <a:defRPr lang="en-US" sz="1600" b="1" i="0" u="none" strike="noStrike" kern="1200" spc="0" baseline="0">
                <a:solidFill>
                  <a:schemeClr val="tx2"/>
                </a:solidFill>
                <a:latin typeface="+mn-lt"/>
                <a:ea typeface="+mn-ea"/>
                <a:cs typeface="+mn-cs"/>
              </a:defRPr>
            </a:pPr>
            <a:r>
              <a:rPr lang="en-US" sz="1600" b="1" baseline="0"/>
              <a:t>SPENDING TREND BY DATE</a:t>
            </a:r>
            <a:endParaRPr lang="en-US" sz="1600" b="1"/>
          </a:p>
        </c:rich>
      </c:tx>
      <c:overlay val="0"/>
      <c:spPr>
        <a:noFill/>
        <a:ln>
          <a:noFill/>
        </a:ln>
        <a:effectLst/>
      </c:spPr>
      <c:txPr>
        <a:bodyPr rot="0" spcFirstLastPara="1" vertOverflow="ellipsis" vert="horz" wrap="square" anchor="ctr" anchorCtr="1"/>
        <a:lstStyle/>
        <a:p>
          <a:pPr>
            <a:defRPr lang="en-US" sz="1600" b="1" i="0" u="none" strike="noStrike" kern="1200" spc="0" baseline="0">
              <a:solidFill>
                <a:schemeClr val="tx2"/>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Analysis!$B$1</c:f>
              <c:strCache>
                <c:ptCount val="1"/>
                <c:pt idx="0">
                  <c:v>Total</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Analysis!$A$2:$A$32</c:f>
              <c:strCache>
                <c:ptCount val="30"/>
                <c:pt idx="0">
                  <c:v>01-Mar</c:v>
                </c:pt>
                <c:pt idx="1">
                  <c:v>02-Mar</c:v>
                </c:pt>
                <c:pt idx="2">
                  <c:v>03-Mar</c:v>
                </c:pt>
                <c:pt idx="3">
                  <c:v>04-Mar</c:v>
                </c:pt>
                <c:pt idx="4">
                  <c:v>05-Mar</c:v>
                </c:pt>
                <c:pt idx="5">
                  <c:v>06-Mar</c:v>
                </c:pt>
                <c:pt idx="6">
                  <c:v>07-Mar</c:v>
                </c:pt>
                <c:pt idx="7">
                  <c:v>08-Mar</c:v>
                </c:pt>
                <c:pt idx="8">
                  <c:v>09-Mar</c:v>
                </c:pt>
                <c:pt idx="9">
                  <c:v>10-Mar</c:v>
                </c:pt>
                <c:pt idx="10">
                  <c:v>11-Mar</c:v>
                </c:pt>
                <c:pt idx="11">
                  <c:v>12-Mar</c:v>
                </c:pt>
                <c:pt idx="12">
                  <c:v>13-Mar</c:v>
                </c:pt>
                <c:pt idx="13">
                  <c:v>14-Mar</c:v>
                </c:pt>
                <c:pt idx="14">
                  <c:v>15-Mar</c:v>
                </c:pt>
                <c:pt idx="15">
                  <c:v>16-Mar</c:v>
                </c:pt>
                <c:pt idx="16">
                  <c:v>17-Mar</c:v>
                </c:pt>
                <c:pt idx="17">
                  <c:v>18-Mar</c:v>
                </c:pt>
                <c:pt idx="18">
                  <c:v>19-Mar</c:v>
                </c:pt>
                <c:pt idx="19">
                  <c:v>20-Mar</c:v>
                </c:pt>
                <c:pt idx="20">
                  <c:v>21-Mar</c:v>
                </c:pt>
                <c:pt idx="21">
                  <c:v>22-Mar</c:v>
                </c:pt>
                <c:pt idx="22">
                  <c:v>23-Mar</c:v>
                </c:pt>
                <c:pt idx="23">
                  <c:v>24-Mar</c:v>
                </c:pt>
                <c:pt idx="24">
                  <c:v>25-Mar</c:v>
                </c:pt>
                <c:pt idx="25">
                  <c:v>26-Mar</c:v>
                </c:pt>
                <c:pt idx="26">
                  <c:v>27-Mar</c:v>
                </c:pt>
                <c:pt idx="27">
                  <c:v>28-Mar</c:v>
                </c:pt>
                <c:pt idx="28">
                  <c:v>29-Mar</c:v>
                </c:pt>
                <c:pt idx="29">
                  <c:v>30-Mar</c:v>
                </c:pt>
              </c:strCache>
            </c:strRef>
          </c:cat>
          <c:val>
            <c:numRef>
              <c:f>Analysis!$B$2:$B$32</c:f>
              <c:numCache>
                <c:formatCode>General</c:formatCode>
                <c:ptCount val="30"/>
                <c:pt idx="0">
                  <c:v>120</c:v>
                </c:pt>
                <c:pt idx="1">
                  <c:v>50</c:v>
                </c:pt>
                <c:pt idx="2">
                  <c:v>180</c:v>
                </c:pt>
                <c:pt idx="3">
                  <c:v>1200</c:v>
                </c:pt>
                <c:pt idx="4">
                  <c:v>1500</c:v>
                </c:pt>
                <c:pt idx="5">
                  <c:v>250</c:v>
                </c:pt>
                <c:pt idx="6">
                  <c:v>300</c:v>
                </c:pt>
                <c:pt idx="7">
                  <c:v>90</c:v>
                </c:pt>
                <c:pt idx="8">
                  <c:v>120</c:v>
                </c:pt>
                <c:pt idx="9">
                  <c:v>450</c:v>
                </c:pt>
                <c:pt idx="10">
                  <c:v>200</c:v>
                </c:pt>
                <c:pt idx="11">
                  <c:v>850</c:v>
                </c:pt>
                <c:pt idx="12">
                  <c:v>700</c:v>
                </c:pt>
                <c:pt idx="13">
                  <c:v>300</c:v>
                </c:pt>
                <c:pt idx="14">
                  <c:v>100</c:v>
                </c:pt>
                <c:pt idx="15">
                  <c:v>499</c:v>
                </c:pt>
                <c:pt idx="16">
                  <c:v>110</c:v>
                </c:pt>
                <c:pt idx="17">
                  <c:v>800</c:v>
                </c:pt>
                <c:pt idx="18">
                  <c:v>220</c:v>
                </c:pt>
                <c:pt idx="19">
                  <c:v>600</c:v>
                </c:pt>
                <c:pt idx="20">
                  <c:v>1000</c:v>
                </c:pt>
                <c:pt idx="21">
                  <c:v>280</c:v>
                </c:pt>
                <c:pt idx="22">
                  <c:v>299</c:v>
                </c:pt>
                <c:pt idx="23">
                  <c:v>70</c:v>
                </c:pt>
                <c:pt idx="24">
                  <c:v>200</c:v>
                </c:pt>
                <c:pt idx="25">
                  <c:v>350</c:v>
                </c:pt>
                <c:pt idx="26">
                  <c:v>210</c:v>
                </c:pt>
                <c:pt idx="27">
                  <c:v>500</c:v>
                </c:pt>
                <c:pt idx="28">
                  <c:v>1200</c:v>
                </c:pt>
                <c:pt idx="29">
                  <c:v>320</c:v>
                </c:pt>
              </c:numCache>
            </c:numRef>
          </c:val>
          <c:smooth val="0"/>
          <c:extLst>
            <c:ext xmlns:c16="http://schemas.microsoft.com/office/drawing/2014/chart" uri="{C3380CC4-5D6E-409C-BE32-E72D297353CC}">
              <c16:uniqueId val="{00000000-A807-4962-A648-05B6B595B957}"/>
            </c:ext>
          </c:extLst>
        </c:ser>
        <c:dLbls>
          <c:showLegendKey val="0"/>
          <c:showVal val="0"/>
          <c:showCatName val="0"/>
          <c:showSerName val="0"/>
          <c:showPercent val="0"/>
          <c:showBubbleSize val="0"/>
        </c:dLbls>
        <c:marker val="1"/>
        <c:smooth val="0"/>
        <c:axId val="844359280"/>
        <c:axId val="784678128"/>
      </c:lineChart>
      <c:catAx>
        <c:axId val="844359280"/>
        <c:scaling>
          <c:orientation val="minMax"/>
        </c:scaling>
        <c:delete val="0"/>
        <c:axPos val="b"/>
        <c:numFmt formatCode="dd/mm" sourceLinked="0"/>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lang="en-US" sz="900" b="0" i="0" u="none" strike="noStrike" kern="1200" baseline="0">
                <a:solidFill>
                  <a:schemeClr val="tx2"/>
                </a:solidFill>
                <a:latin typeface="+mn-lt"/>
                <a:ea typeface="+mn-ea"/>
                <a:cs typeface="+mn-cs"/>
              </a:defRPr>
            </a:pPr>
            <a:endParaRPr lang="en-US"/>
          </a:p>
        </c:txPr>
        <c:crossAx val="784678128"/>
        <c:crosses val="autoZero"/>
        <c:auto val="1"/>
        <c:lblAlgn val="ctr"/>
        <c:lblOffset val="100"/>
        <c:noMultiLvlLbl val="0"/>
      </c:catAx>
      <c:valAx>
        <c:axId val="784678128"/>
        <c:scaling>
          <c:orientation val="minMax"/>
        </c:scaling>
        <c:delete val="0"/>
        <c:axPos val="l"/>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lang="en-US" sz="900" b="0" i="0" u="none" strike="noStrike" kern="1200" baseline="0">
                <a:solidFill>
                  <a:schemeClr val="tx2"/>
                </a:solidFill>
                <a:latin typeface="+mn-lt"/>
                <a:ea typeface="+mn-ea"/>
                <a:cs typeface="+mn-cs"/>
              </a:defRPr>
            </a:pPr>
            <a:endParaRPr lang="en-US"/>
          </a:p>
        </c:txPr>
        <c:crossAx val="84435928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ysClr val="windowText" lastClr="000000"/>
      </a:solidFill>
      <a:round/>
    </a:ln>
    <a:effectLst/>
  </c:spPr>
  <c:txPr>
    <a:bodyPr/>
    <a:lstStyle/>
    <a:p>
      <a:pPr>
        <a:defRPr lang="en-US" sz="900" b="0" i="0" u="none" strike="noStrike" kern="1200" baseline="0">
          <a:solidFill>
            <a:schemeClr val="tx2"/>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withinLinearReversed" id="25">
  <a:schemeClr val="accent5"/>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5">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charts/style2.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2" Type="http://schemas.openxmlformats.org/officeDocument/2006/relationships/chart" Target="../charts/chart2.xml"/><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2</xdr:col>
      <xdr:colOff>475307</xdr:colOff>
      <xdr:row>3</xdr:row>
      <xdr:rowOff>148817</xdr:rowOff>
    </xdr:from>
    <xdr:to>
      <xdr:col>9</xdr:col>
      <xdr:colOff>446051</xdr:colOff>
      <xdr:row>19</xdr:row>
      <xdr:rowOff>155168</xdr:rowOff>
    </xdr:to>
    <xdr:graphicFrame macro="">
      <xdr:nvGraphicFramePr>
        <xdr:cNvPr id="4" name="Chart 3">
          <a:extLst>
            <a:ext uri="{FF2B5EF4-FFF2-40B4-BE49-F238E27FC236}">
              <a16:creationId xmlns:a16="http://schemas.microsoft.com/office/drawing/2014/main" id="{1116953E-DCF7-8DD1-1EAE-C20E2AD9051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xdr:col>
      <xdr:colOff>482852</xdr:colOff>
      <xdr:row>20</xdr:row>
      <xdr:rowOff>120713</xdr:rowOff>
    </xdr:from>
    <xdr:to>
      <xdr:col>9</xdr:col>
      <xdr:colOff>445130</xdr:colOff>
      <xdr:row>25</xdr:row>
      <xdr:rowOff>143346</xdr:rowOff>
    </xdr:to>
    <xdr:sp macro="" textlink="">
      <xdr:nvSpPr>
        <xdr:cNvPr id="3" name="TextBox 2">
          <a:extLst>
            <a:ext uri="{FF2B5EF4-FFF2-40B4-BE49-F238E27FC236}">
              <a16:creationId xmlns:a16="http://schemas.microsoft.com/office/drawing/2014/main" id="{4D7B3AA0-5960-0957-DC96-87E65DD34CF7}"/>
            </a:ext>
          </a:extLst>
        </xdr:cNvPr>
        <xdr:cNvSpPr txBox="1"/>
      </xdr:nvSpPr>
      <xdr:spPr>
        <a:xfrm>
          <a:off x="2685862" y="3742099"/>
          <a:ext cx="5137842" cy="92798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fontAlgn="b"/>
          <a:r>
            <a:rPr lang="en-IN" sz="1400" b="1" i="0" u="none" strike="noStrike">
              <a:solidFill>
                <a:schemeClr val="dk1"/>
              </a:solidFill>
              <a:effectLst/>
              <a:latin typeface="+mj-lt"/>
              <a:ea typeface="+mn-ea"/>
              <a:cs typeface="+mn-cs"/>
            </a:rPr>
            <a:t>INSIGHTS: </a:t>
          </a:r>
          <a:endParaRPr lang="en-IN" sz="1100" b="1" i="0" u="none" strike="noStrike">
            <a:solidFill>
              <a:schemeClr val="dk1"/>
            </a:solidFill>
            <a:effectLst/>
            <a:latin typeface="+mj-lt"/>
            <a:ea typeface="+mn-ea"/>
            <a:cs typeface="+mn-cs"/>
          </a:endParaRPr>
        </a:p>
        <a:p>
          <a:pPr marL="171450" indent="-171450">
            <a:buFont typeface="Wingdings" panose="05000000000000000000" pitchFamily="2" charset="2"/>
            <a:buChar char="ü"/>
          </a:pPr>
          <a:r>
            <a:rPr lang="en-IN" sz="1100" b="0" i="0" u="none" strike="noStrike">
              <a:solidFill>
                <a:schemeClr val="dk1"/>
              </a:solidFill>
              <a:effectLst/>
              <a:latin typeface="+mn-lt"/>
              <a:ea typeface="+mn-ea"/>
              <a:cs typeface="+mn-cs"/>
            </a:rPr>
            <a:t>Shopping is the highest spending category contributing 24% of total</a:t>
          </a:r>
          <a:r>
            <a:rPr lang="en-IN" sz="1100" b="0" i="0" u="none" strike="noStrike" baseline="0">
              <a:solidFill>
                <a:schemeClr val="dk1"/>
              </a:solidFill>
              <a:effectLst/>
              <a:latin typeface="+mn-lt"/>
              <a:ea typeface="+mn-ea"/>
              <a:cs typeface="+mn-cs"/>
            </a:rPr>
            <a:t> expenses.</a:t>
          </a:r>
          <a:endParaRPr lang="en-IN">
            <a:effectLst/>
          </a:endParaRPr>
        </a:p>
        <a:p>
          <a:pPr marL="171450" indent="-171450">
            <a:buFont typeface="Wingdings" panose="05000000000000000000" pitchFamily="2" charset="2"/>
            <a:buChar char="ü"/>
          </a:pPr>
          <a:r>
            <a:rPr lang="en-IN" sz="1100" b="0" i="0" u="none" strike="noStrike">
              <a:solidFill>
                <a:schemeClr val="dk1"/>
              </a:solidFill>
              <a:effectLst/>
              <a:latin typeface="+mn-lt"/>
              <a:ea typeface="+mn-ea"/>
              <a:cs typeface="+mn-cs"/>
            </a:rPr>
            <a:t>Entertainment is the lowest spending category.</a:t>
          </a:r>
        </a:p>
        <a:p>
          <a:pPr marL="171450" indent="-171450">
            <a:buFont typeface="Wingdings" panose="05000000000000000000" pitchFamily="2" charset="2"/>
            <a:buChar char="ü"/>
          </a:pPr>
          <a:r>
            <a:rPr lang="en-IN" sz="1100" b="0" i="0" u="none" strike="noStrike">
              <a:solidFill>
                <a:schemeClr val="dk1"/>
              </a:solidFill>
              <a:effectLst/>
              <a:latin typeface="+mn-lt"/>
              <a:ea typeface="+mn-ea"/>
              <a:cs typeface="+mn-cs"/>
            </a:rPr>
            <a:t>Observation: Spending shows fluctuations with some peaks during the week.</a:t>
          </a:r>
          <a:endParaRPr lang="en-IN" sz="1100"/>
        </a:p>
      </xdr:txBody>
    </xdr:sp>
    <xdr:clientData/>
  </xdr:twoCellAnchor>
  <xdr:twoCellAnchor editAs="oneCell">
    <xdr:from>
      <xdr:col>0</xdr:col>
      <xdr:colOff>371923</xdr:colOff>
      <xdr:row>13</xdr:row>
      <xdr:rowOff>74968</xdr:rowOff>
    </xdr:from>
    <xdr:to>
      <xdr:col>1</xdr:col>
      <xdr:colOff>1298453</xdr:colOff>
      <xdr:row>25</xdr:row>
      <xdr:rowOff>179591</xdr:rowOff>
    </xdr:to>
    <mc:AlternateContent xmlns:mc="http://schemas.openxmlformats.org/markup-compatibility/2006" xmlns:a14="http://schemas.microsoft.com/office/drawing/2010/main">
      <mc:Choice Requires="a14">
        <xdr:graphicFrame macro="">
          <xdr:nvGraphicFramePr>
            <xdr:cNvPr id="2" name="Day">
              <a:extLst>
                <a:ext uri="{FF2B5EF4-FFF2-40B4-BE49-F238E27FC236}">
                  <a16:creationId xmlns:a16="http://schemas.microsoft.com/office/drawing/2014/main" id="{8021448E-A82E-9783-7B62-5E2975ECD8A3}"/>
                </a:ext>
              </a:extLst>
            </xdr:cNvPr>
            <xdr:cNvGraphicFramePr/>
          </xdr:nvGraphicFramePr>
          <xdr:xfrm>
            <a:off x="0" y="0"/>
            <a:ext cx="0" cy="0"/>
          </xdr:xfrm>
          <a:graphic>
            <a:graphicData uri="http://schemas.microsoft.com/office/drawing/2010/slicer">
              <sle:slicer xmlns:sle="http://schemas.microsoft.com/office/drawing/2010/slicer" name="Day"/>
            </a:graphicData>
          </a:graphic>
        </xdr:graphicFrame>
      </mc:Choice>
      <mc:Fallback xmlns="">
        <xdr:sp macro="" textlink="">
          <xdr:nvSpPr>
            <xdr:cNvPr id="0" name=""/>
            <xdr:cNvSpPr>
              <a:spLocks noTextEdit="1"/>
            </xdr:cNvSpPr>
          </xdr:nvSpPr>
          <xdr:spPr>
            <a:xfrm>
              <a:off x="371923" y="2428869"/>
              <a:ext cx="1824332" cy="227745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10</xdr:col>
      <xdr:colOff>80105</xdr:colOff>
      <xdr:row>3</xdr:row>
      <xdr:rowOff>150891</xdr:rowOff>
    </xdr:from>
    <xdr:to>
      <xdr:col>17</xdr:col>
      <xdr:colOff>475307</xdr:colOff>
      <xdr:row>19</xdr:row>
      <xdr:rowOff>135802</xdr:rowOff>
    </xdr:to>
    <xdr:graphicFrame macro="">
      <xdr:nvGraphicFramePr>
        <xdr:cNvPr id="6" name="Chart 5">
          <a:extLst>
            <a:ext uri="{FF2B5EF4-FFF2-40B4-BE49-F238E27FC236}">
              <a16:creationId xmlns:a16="http://schemas.microsoft.com/office/drawing/2014/main" id="{A61AEFB1-5BEA-4BD4-91F3-3F048430D70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Rathnaa K" refreshedDate="46292.988481944441" createdVersion="8" refreshedVersion="8" minRefreshableVersion="3" recordCount="30" xr:uid="{97525758-462C-49C3-B793-0AB4A4F35637}">
  <cacheSource type="worksheet">
    <worksheetSource name="Table1"/>
  </cacheSource>
  <cacheFields count="6">
    <cacheField name="Date" numFmtId="16">
      <sharedItems containsNonDate="0" containsDate="1" containsMixedTypes="1" minDate="2026-03-01T00:00:00" maxDate="2026-03-31T00:00:00" count="60">
        <d v="2026-03-01T00:00:00"/>
        <d v="2026-03-02T00:00:00"/>
        <d v="2026-03-03T00:00:00"/>
        <d v="2026-03-04T00:00:00"/>
        <d v="2026-03-05T00:00:00"/>
        <d v="2026-03-06T00:00:00"/>
        <d v="2026-03-07T00:00:00"/>
        <d v="2026-03-08T00:00:00"/>
        <d v="2026-03-09T00:00:00"/>
        <d v="2026-03-10T00:00:00"/>
        <d v="2026-03-11T00:00:00"/>
        <d v="2026-03-12T00:00:00"/>
        <d v="2026-03-13T00:00:00"/>
        <d v="2026-03-14T00:00:00"/>
        <d v="2026-03-15T00:00:00"/>
        <d v="2026-03-16T00:00:00"/>
        <d v="2026-03-17T00:00:00"/>
        <d v="2026-03-18T00:00:00"/>
        <d v="2026-03-19T00:00:00"/>
        <d v="2026-03-20T00:00:00"/>
        <d v="2026-03-21T00:00:00"/>
        <d v="2026-03-22T00:00:00"/>
        <d v="2026-03-23T00:00:00"/>
        <d v="2026-03-24T00:00:00"/>
        <d v="2026-03-25T00:00:00"/>
        <d v="2026-03-26T00:00:00"/>
        <d v="2026-03-27T00:00:00"/>
        <d v="2026-03-28T00:00:00"/>
        <d v="2026-03-29T00:00:00"/>
        <d v="2026-03-30T00:00:00"/>
        <s v="2026-03-01" u="1"/>
        <s v="2026-03-02" u="1"/>
        <s v="2026-03-03" u="1"/>
        <s v="2026-03-04" u="1"/>
        <s v="2026-03-05" u="1"/>
        <s v="2026-03-06" u="1"/>
        <s v="2026-03-07" u="1"/>
        <s v="2026-03-08" u="1"/>
        <s v="2026-03-09" u="1"/>
        <s v="2026-03-10" u="1"/>
        <s v="2026-03-11" u="1"/>
        <s v="2026-03-12" u="1"/>
        <s v="2026-03-13" u="1"/>
        <s v="2026-03-14" u="1"/>
        <s v="2026-03-15" u="1"/>
        <s v="2026-03-16" u="1"/>
        <s v="2026-03-17" u="1"/>
        <s v="2026-03-18" u="1"/>
        <s v="2026-03-19" u="1"/>
        <s v="2026-03-20" u="1"/>
        <s v="2026-03-21" u="1"/>
        <s v="2026-03-22" u="1"/>
        <s v="2026-03-23" u="1"/>
        <s v="2026-03-24" u="1"/>
        <s v="2026-03-25" u="1"/>
        <s v="2026-03-26" u="1"/>
        <s v="2026-03-27" u="1"/>
        <s v="2026-03-28" u="1"/>
        <s v="2026-03-29" u="1"/>
        <s v="2026-03-30" u="1"/>
      </sharedItems>
    </cacheField>
    <cacheField name="Category" numFmtId="0">
      <sharedItems count="6">
        <s v="Food"/>
        <s v="Transport"/>
        <s v="Shopping"/>
        <s v="Bills"/>
        <s v="Entertainment"/>
        <s v="Health"/>
      </sharedItems>
    </cacheField>
    <cacheField name="Description" numFmtId="0">
      <sharedItems/>
    </cacheField>
    <cacheField name="Amount (INR)" numFmtId="0">
      <sharedItems containsSemiMixedTypes="0" containsString="0" containsNumber="1" containsInteger="1" minValue="50" maxValue="1500"/>
    </cacheField>
    <cacheField name="Payment Mode" numFmtId="0">
      <sharedItems/>
    </cacheField>
    <cacheField name="Day" numFmtId="0">
      <sharedItems count="7">
        <s v="Sunday"/>
        <s v="Monday"/>
        <s v="Tuesday"/>
        <s v="Wednesday"/>
        <s v="Thursday"/>
        <s v="Friday"/>
        <s v="Saturday"/>
      </sharedItems>
    </cacheField>
  </cacheFields>
  <extLst>
    <ext xmlns:x14="http://schemas.microsoft.com/office/spreadsheetml/2009/9/main" uri="{725AE2AE-9491-48be-B2B4-4EB974FC3084}">
      <x14:pivotCacheDefinition pivotCacheId="1353721506"/>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30">
  <r>
    <x v="0"/>
    <x v="0"/>
    <s v="Breakfast"/>
    <n v="120"/>
    <s v="UPI"/>
    <x v="0"/>
  </r>
  <r>
    <x v="1"/>
    <x v="1"/>
    <s v="Bus fare"/>
    <n v="50"/>
    <s v="Cash"/>
    <x v="1"/>
  </r>
  <r>
    <x v="2"/>
    <x v="0"/>
    <s v="Lunch"/>
    <n v="180"/>
    <s v="UPI"/>
    <x v="2"/>
  </r>
  <r>
    <x v="3"/>
    <x v="2"/>
    <s v="Clothes"/>
    <n v="1200"/>
    <s v="Card"/>
    <x v="3"/>
  </r>
  <r>
    <x v="4"/>
    <x v="3"/>
    <s v="Electricity"/>
    <n v="1500"/>
    <s v="UPI"/>
    <x v="4"/>
  </r>
  <r>
    <x v="5"/>
    <x v="0"/>
    <s v="Dinner"/>
    <n v="250"/>
    <s v="UPI"/>
    <x v="5"/>
  </r>
  <r>
    <x v="6"/>
    <x v="4"/>
    <s v="Movie"/>
    <n v="300"/>
    <s v="Card"/>
    <x v="6"/>
  </r>
  <r>
    <x v="7"/>
    <x v="0"/>
    <s v="Snacks"/>
    <n v="90"/>
    <s v="Cash"/>
    <x v="0"/>
  </r>
  <r>
    <x v="8"/>
    <x v="1"/>
    <s v="Auto"/>
    <n v="120"/>
    <s v="Cash"/>
    <x v="1"/>
  </r>
  <r>
    <x v="9"/>
    <x v="5"/>
    <s v="Medicines"/>
    <n v="450"/>
    <s v="UPI"/>
    <x v="2"/>
  </r>
  <r>
    <x v="10"/>
    <x v="0"/>
    <s v="Lunch"/>
    <n v="200"/>
    <s v="UPI"/>
    <x v="3"/>
  </r>
  <r>
    <x v="11"/>
    <x v="2"/>
    <s v="Groceries"/>
    <n v="850"/>
    <s v="UPI"/>
    <x v="4"/>
  </r>
  <r>
    <x v="12"/>
    <x v="3"/>
    <s v="Internet"/>
    <n v="700"/>
    <s v="Card"/>
    <x v="5"/>
  </r>
  <r>
    <x v="13"/>
    <x v="0"/>
    <s v="Dinner"/>
    <n v="300"/>
    <s v="UPI"/>
    <x v="6"/>
  </r>
  <r>
    <x v="14"/>
    <x v="1"/>
    <s v="Metro"/>
    <n v="100"/>
    <s v="Card"/>
    <x v="0"/>
  </r>
  <r>
    <x v="15"/>
    <x v="4"/>
    <s v="Subscription"/>
    <n v="499"/>
    <s v="Card"/>
    <x v="1"/>
  </r>
  <r>
    <x v="16"/>
    <x v="0"/>
    <s v="Breakfast"/>
    <n v="110"/>
    <s v="Cash"/>
    <x v="2"/>
  </r>
  <r>
    <x v="17"/>
    <x v="5"/>
    <s v="Doctor Visit"/>
    <n v="800"/>
    <s v="UPI"/>
    <x v="3"/>
  </r>
  <r>
    <x v="18"/>
    <x v="0"/>
    <s v="Lunch"/>
    <n v="220"/>
    <s v="UPI"/>
    <x v="4"/>
  </r>
  <r>
    <x v="19"/>
    <x v="2"/>
    <s v="Accessories"/>
    <n v="600"/>
    <s v="Card"/>
    <x v="5"/>
  </r>
  <r>
    <x v="20"/>
    <x v="1"/>
    <s v="Fuel"/>
    <n v="1000"/>
    <s v="UPI"/>
    <x v="6"/>
  </r>
  <r>
    <x v="21"/>
    <x v="0"/>
    <s v="Dinner"/>
    <n v="280"/>
    <s v="UPI"/>
    <x v="0"/>
  </r>
  <r>
    <x v="22"/>
    <x v="3"/>
    <s v="Mobile Recharge"/>
    <n v="299"/>
    <s v="UPI"/>
    <x v="1"/>
  </r>
  <r>
    <x v="23"/>
    <x v="0"/>
    <s v="Snacks"/>
    <n v="70"/>
    <s v="Cash"/>
    <x v="2"/>
  </r>
  <r>
    <x v="24"/>
    <x v="4"/>
    <s v="Games"/>
    <n v="200"/>
    <s v="UPI"/>
    <x v="3"/>
  </r>
  <r>
    <x v="25"/>
    <x v="1"/>
    <s v="Cab"/>
    <n v="350"/>
    <s v="Card"/>
    <x v="4"/>
  </r>
  <r>
    <x v="26"/>
    <x v="0"/>
    <s v="Lunch"/>
    <n v="210"/>
    <s v="UPI"/>
    <x v="5"/>
  </r>
  <r>
    <x v="27"/>
    <x v="2"/>
    <s v="Books"/>
    <n v="500"/>
    <s v="Card"/>
    <x v="6"/>
  </r>
  <r>
    <x v="28"/>
    <x v="5"/>
    <s v="Gym"/>
    <n v="1200"/>
    <s v="UPI"/>
    <x v="0"/>
  </r>
  <r>
    <x v="29"/>
    <x v="0"/>
    <s v="Dinner"/>
    <n v="320"/>
    <s v="UPI"/>
    <x v="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38B4BE5F-4934-4A42-B391-5B1115592FE9}"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9">
  <location ref="A1:B32" firstHeaderRow="1" firstDataRow="1" firstDataCol="1"/>
  <pivotFields count="6">
    <pivotField axis="axisRow" numFmtId="16" showAll="0" defaultSubtotal="0">
      <items count="60">
        <item m="1" x="30"/>
        <item m="1" x="31"/>
        <item m="1" x="32"/>
        <item m="1" x="33"/>
        <item m="1" x="34"/>
        <item m="1" x="35"/>
        <item m="1" x="36"/>
        <item m="1" x="37"/>
        <item m="1" x="38"/>
        <item m="1" x="39"/>
        <item m="1" x="40"/>
        <item m="1" x="41"/>
        <item m="1" x="42"/>
        <item m="1" x="43"/>
        <item m="1" x="44"/>
        <item m="1" x="45"/>
        <item m="1" x="46"/>
        <item m="1" x="47"/>
        <item m="1" x="48"/>
        <item m="1" x="49"/>
        <item m="1" x="50"/>
        <item m="1" x="51"/>
        <item m="1" x="52"/>
        <item m="1" x="53"/>
        <item m="1" x="54"/>
        <item m="1" x="55"/>
        <item m="1" x="56"/>
        <item m="1" x="57"/>
        <item m="1" x="58"/>
        <item m="1" x="59"/>
        <item x="0"/>
        <item x="1"/>
        <item x="2"/>
        <item x="3"/>
        <item x="4"/>
        <item x="5"/>
        <item x="6"/>
        <item x="7"/>
        <item x="8"/>
        <item x="9"/>
        <item x="10"/>
        <item x="11"/>
        <item x="12"/>
        <item x="13"/>
        <item x="14"/>
        <item x="15"/>
        <item x="16"/>
        <item x="17"/>
        <item x="18"/>
        <item x="19"/>
        <item x="20"/>
        <item x="21"/>
        <item x="22"/>
        <item x="23"/>
        <item x="24"/>
        <item x="25"/>
        <item x="26"/>
        <item x="27"/>
        <item x="28"/>
        <item x="29"/>
      </items>
    </pivotField>
    <pivotField showAll="0"/>
    <pivotField showAll="0"/>
    <pivotField dataField="1" showAll="0"/>
    <pivotField showAll="0"/>
    <pivotField showAll="0">
      <items count="8">
        <item x="0"/>
        <item x="1"/>
        <item x="2"/>
        <item x="3"/>
        <item x="4"/>
        <item x="5"/>
        <item x="6"/>
        <item t="default"/>
      </items>
    </pivotField>
  </pivotFields>
  <rowFields count="1">
    <field x="0"/>
  </rowFields>
  <rowItems count="31">
    <i>
      <x v="30"/>
    </i>
    <i>
      <x v="31"/>
    </i>
    <i>
      <x v="32"/>
    </i>
    <i>
      <x v="33"/>
    </i>
    <i>
      <x v="34"/>
    </i>
    <i>
      <x v="35"/>
    </i>
    <i>
      <x v="36"/>
    </i>
    <i>
      <x v="37"/>
    </i>
    <i>
      <x v="38"/>
    </i>
    <i>
      <x v="39"/>
    </i>
    <i>
      <x v="40"/>
    </i>
    <i>
      <x v="41"/>
    </i>
    <i>
      <x v="42"/>
    </i>
    <i>
      <x v="43"/>
    </i>
    <i>
      <x v="44"/>
    </i>
    <i>
      <x v="45"/>
    </i>
    <i>
      <x v="46"/>
    </i>
    <i>
      <x v="47"/>
    </i>
    <i>
      <x v="48"/>
    </i>
    <i>
      <x v="49"/>
    </i>
    <i>
      <x v="50"/>
    </i>
    <i>
      <x v="51"/>
    </i>
    <i>
      <x v="52"/>
    </i>
    <i>
      <x v="53"/>
    </i>
    <i>
      <x v="54"/>
    </i>
    <i>
      <x v="55"/>
    </i>
    <i>
      <x v="56"/>
    </i>
    <i>
      <x v="57"/>
    </i>
    <i>
      <x v="58"/>
    </i>
    <i>
      <x v="59"/>
    </i>
    <i t="grand">
      <x/>
    </i>
  </rowItems>
  <colItems count="1">
    <i/>
  </colItems>
  <dataFields count="1">
    <dataField name="Sum of Amount (INR)" fld="3" baseField="0" baseItem="0"/>
  </dataFields>
  <chartFormats count="2">
    <chartFormat chart="0"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628AA830-04D5-436D-9F1A-33B3ED394B1E}" name="PivotTable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5" rowHeaderCaption="Category" fieldListSortAscending="1">
  <location ref="A5:B12" firstHeaderRow="1" firstDataRow="1" firstDataCol="1"/>
  <pivotFields count="6">
    <pivotField showAll="0"/>
    <pivotField axis="axisRow" showAll="0" sortType="descending">
      <items count="7">
        <item x="3"/>
        <item x="4"/>
        <item x="0"/>
        <item x="5"/>
        <item x="2"/>
        <item x="1"/>
        <item t="default"/>
      </items>
      <autoSortScope>
        <pivotArea dataOnly="0" outline="0" fieldPosition="0">
          <references count="1">
            <reference field="4294967294" count="1" selected="0">
              <x v="0"/>
            </reference>
          </references>
        </pivotArea>
      </autoSortScope>
    </pivotField>
    <pivotField showAll="0"/>
    <pivotField dataField="1" showAll="0"/>
    <pivotField showAll="0"/>
    <pivotField multipleItemSelectionAllowed="1" showAll="0">
      <items count="8">
        <item x="0"/>
        <item x="1"/>
        <item x="2"/>
        <item x="3"/>
        <item x="4"/>
        <item x="5"/>
        <item x="6"/>
        <item t="default"/>
      </items>
    </pivotField>
  </pivotFields>
  <rowFields count="1">
    <field x="1"/>
  </rowFields>
  <rowItems count="7">
    <i>
      <x v="4"/>
    </i>
    <i>
      <x/>
    </i>
    <i>
      <x v="3"/>
    </i>
    <i>
      <x v="2"/>
    </i>
    <i>
      <x v="5"/>
    </i>
    <i>
      <x v="1"/>
    </i>
    <i t="grand">
      <x/>
    </i>
  </rowItems>
  <colItems count="1">
    <i/>
  </colItems>
  <dataFields count="1">
    <dataField name="Total Spending (INR)" fld="3" baseField="1" baseItem="0" numFmtId="164"/>
  </dataFields>
  <formats count="13">
    <format dxfId="220">
      <pivotArea outline="0" collapsedLevelsAreSubtotals="1" fieldPosition="0"/>
    </format>
    <format dxfId="219">
      <pivotArea type="all" dataOnly="0" outline="0" fieldPosition="0"/>
    </format>
    <format dxfId="218">
      <pivotArea outline="0" collapsedLevelsAreSubtotals="1" fieldPosition="0"/>
    </format>
    <format dxfId="217">
      <pivotArea field="1" type="button" dataOnly="0" labelOnly="1" outline="0" axis="axisRow" fieldPosition="0"/>
    </format>
    <format dxfId="216">
      <pivotArea dataOnly="0" labelOnly="1" fieldPosition="0">
        <references count="1">
          <reference field="1" count="0"/>
        </references>
      </pivotArea>
    </format>
    <format dxfId="215">
      <pivotArea dataOnly="0" labelOnly="1" grandRow="1" outline="0" fieldPosition="0"/>
    </format>
    <format dxfId="214">
      <pivotArea dataOnly="0" labelOnly="1" outline="0" axis="axisValues" fieldPosition="0"/>
    </format>
    <format dxfId="213">
      <pivotArea type="all" dataOnly="0" outline="0" fieldPosition="0"/>
    </format>
    <format dxfId="212">
      <pivotArea outline="0" collapsedLevelsAreSubtotals="1" fieldPosition="0"/>
    </format>
    <format dxfId="211">
      <pivotArea field="1" type="button" dataOnly="0" labelOnly="1" outline="0" axis="axisRow" fieldPosition="0"/>
    </format>
    <format dxfId="210">
      <pivotArea dataOnly="0" labelOnly="1" fieldPosition="0">
        <references count="1">
          <reference field="1" count="0"/>
        </references>
      </pivotArea>
    </format>
    <format dxfId="209">
      <pivotArea dataOnly="0" labelOnly="1" grandRow="1" outline="0" fieldPosition="0"/>
    </format>
    <format dxfId="208">
      <pivotArea dataOnly="0" labelOnly="1" outline="0" axis="axisValues" fieldPosition="0"/>
    </format>
  </formats>
  <chartFormats count="7">
    <chartFormat chart="2" format="7" series="1">
      <pivotArea type="data" outline="0" fieldPosition="0">
        <references count="1">
          <reference field="4294967294" count="1" selected="0">
            <x v="0"/>
          </reference>
        </references>
      </pivotArea>
    </chartFormat>
    <chartFormat chart="2" format="21">
      <pivotArea type="data" outline="0" fieldPosition="0">
        <references count="2">
          <reference field="4294967294" count="1" selected="0">
            <x v="0"/>
          </reference>
          <reference field="1" count="1" selected="0">
            <x v="0"/>
          </reference>
        </references>
      </pivotArea>
    </chartFormat>
    <chartFormat chart="2" format="22">
      <pivotArea type="data" outline="0" fieldPosition="0">
        <references count="2">
          <reference field="4294967294" count="1" selected="0">
            <x v="0"/>
          </reference>
          <reference field="1" count="1" selected="0">
            <x v="1"/>
          </reference>
        </references>
      </pivotArea>
    </chartFormat>
    <chartFormat chart="2" format="23">
      <pivotArea type="data" outline="0" fieldPosition="0">
        <references count="2">
          <reference field="4294967294" count="1" selected="0">
            <x v="0"/>
          </reference>
          <reference field="1" count="1" selected="0">
            <x v="2"/>
          </reference>
        </references>
      </pivotArea>
    </chartFormat>
    <chartFormat chart="2" format="24">
      <pivotArea type="data" outline="0" fieldPosition="0">
        <references count="2">
          <reference field="4294967294" count="1" selected="0">
            <x v="0"/>
          </reference>
          <reference field="1" count="1" selected="0">
            <x v="3"/>
          </reference>
        </references>
      </pivotArea>
    </chartFormat>
    <chartFormat chart="2" format="25">
      <pivotArea type="data" outline="0" fieldPosition="0">
        <references count="2">
          <reference field="4294967294" count="1" selected="0">
            <x v="0"/>
          </reference>
          <reference field="1" count="1" selected="0">
            <x v="4"/>
          </reference>
        </references>
      </pivotArea>
    </chartFormat>
    <chartFormat chart="2" format="26">
      <pivotArea type="data" outline="0" fieldPosition="0">
        <references count="2">
          <reference field="4294967294" count="1" selected="0">
            <x v="0"/>
          </reference>
          <reference field="1" count="1" selected="0">
            <x v="5"/>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ay" xr10:uid="{26CB9897-0B20-428A-AAF5-68A59B650652}" sourceName="Day">
  <pivotTables>
    <pivotTable tabId="5" name="PivotTable5"/>
    <pivotTable tabId="6" name="PivotTable1"/>
  </pivotTables>
  <data>
    <tabular pivotCacheId="1353721506">
      <items count="7">
        <i x="0" s="1"/>
        <i x="1" s="1"/>
        <i x="2" s="1"/>
        <i x="3" s="1"/>
        <i x="4" s="1"/>
        <i x="5" s="1"/>
        <i x="6"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Day" xr10:uid="{47AAEBDF-D9E4-4439-B3D9-3DD83BD1C923}" cache="Slicer_Day" caption="Day" rowHeight="2349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235D1509-99A6-4033-973D-7C7CCBAD6BEB}" name="Table1" displayName="Table1" ref="A1:F31" totalsRowShown="0" headerRowDxfId="228" dataDxfId="227">
  <autoFilter ref="A1:F31" xr:uid="{235D1509-99A6-4033-973D-7C7CCBAD6BEB}"/>
  <tableColumns count="6">
    <tableColumn id="1" xr3:uid="{A7C6435C-D9A7-44D8-8C95-2CE92E5E2904}" name="Date" dataDxfId="226"/>
    <tableColumn id="2" xr3:uid="{A6D28EEA-A76D-4D44-A0CB-953E8281E9A4}" name="Category" dataDxfId="225"/>
    <tableColumn id="3" xr3:uid="{7CD5662E-DADD-4B39-9996-1DAEA80A3CDE}" name="Description" dataDxfId="224"/>
    <tableColumn id="4" xr3:uid="{B09E391B-BB2E-482E-85B2-9841EA6CAF7E}" name="Amount (INR)" dataDxfId="223"/>
    <tableColumn id="5" xr3:uid="{BD4664E9-1AF6-4522-BABD-F91FBFB3A0B2}" name="Payment Mode" dataDxfId="222"/>
    <tableColumn id="6" xr3:uid="{CA9732C9-F34C-4D51-8F04-CC705B99CD3A}" name="Day" dataDxfId="221">
      <calculatedColumnFormula>TEXT(Table1[[#This Row],[Date]],"dddd")</calculatedColumnFormula>
    </tableColumn>
  </tableColumns>
  <tableStyleInfo name="TableStyleMedium13"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3.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ivotTable" Target="../pivotTables/pivotTable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J31"/>
  <sheetViews>
    <sheetView zoomScale="90" zoomScaleNormal="90" workbookViewId="0"/>
  </sheetViews>
  <sheetFormatPr defaultRowHeight="14.4" x14ac:dyDescent="0.3"/>
  <cols>
    <col min="1" max="1" width="10.21875" style="5" bestFit="1" customWidth="1"/>
    <col min="2" max="2" width="13.77734375" bestFit="1" customWidth="1"/>
    <col min="3" max="3" width="16" bestFit="1" customWidth="1"/>
    <col min="4" max="4" width="18" style="1" bestFit="1" customWidth="1"/>
    <col min="5" max="5" width="19.6640625" bestFit="1" customWidth="1"/>
    <col min="6" max="6" width="11.109375" bestFit="1" customWidth="1"/>
    <col min="7" max="7" width="14.21875" bestFit="1" customWidth="1"/>
    <col min="8" max="8" width="21.88671875" bestFit="1" customWidth="1"/>
    <col min="10" max="10" width="12.6640625" bestFit="1" customWidth="1"/>
    <col min="11" max="11" width="5.5546875" customWidth="1"/>
  </cols>
  <sheetData>
    <row r="1" spans="1:6" x14ac:dyDescent="0.3">
      <c r="A1" s="10" t="s">
        <v>0</v>
      </c>
      <c r="B1" s="11" t="s">
        <v>1</v>
      </c>
      <c r="C1" s="11" t="s">
        <v>2</v>
      </c>
      <c r="D1" s="11" t="s">
        <v>3</v>
      </c>
      <c r="E1" s="11" t="s">
        <v>4</v>
      </c>
      <c r="F1" s="11" t="s">
        <v>38</v>
      </c>
    </row>
    <row r="2" spans="1:6" x14ac:dyDescent="0.3">
      <c r="A2" s="4">
        <v>46082</v>
      </c>
      <c r="B2" s="1" t="s">
        <v>5</v>
      </c>
      <c r="C2" s="1" t="s">
        <v>6</v>
      </c>
      <c r="D2" s="1">
        <v>120</v>
      </c>
      <c r="E2" s="1" t="s">
        <v>7</v>
      </c>
      <c r="F2" s="1" t="str">
        <f>TEXT(Table1[[#This Row],[Date]],"dddd")</f>
        <v>Sunday</v>
      </c>
    </row>
    <row r="3" spans="1:6" x14ac:dyDescent="0.3">
      <c r="A3" s="4">
        <v>46083</v>
      </c>
      <c r="B3" s="1" t="s">
        <v>8</v>
      </c>
      <c r="C3" s="1" t="s">
        <v>9</v>
      </c>
      <c r="D3" s="1">
        <v>50</v>
      </c>
      <c r="E3" s="1" t="s">
        <v>10</v>
      </c>
      <c r="F3" s="1" t="str">
        <f>TEXT(Table1[[#This Row],[Date]],"dddd")</f>
        <v>Monday</v>
      </c>
    </row>
    <row r="4" spans="1:6" x14ac:dyDescent="0.3">
      <c r="A4" s="4">
        <v>46084</v>
      </c>
      <c r="B4" s="1" t="s">
        <v>5</v>
      </c>
      <c r="C4" s="1" t="s">
        <v>11</v>
      </c>
      <c r="D4" s="1">
        <v>180</v>
      </c>
      <c r="E4" s="1" t="s">
        <v>7</v>
      </c>
      <c r="F4" s="1" t="str">
        <f>TEXT(Table1[[#This Row],[Date]],"dddd")</f>
        <v>Tuesday</v>
      </c>
    </row>
    <row r="5" spans="1:6" x14ac:dyDescent="0.3">
      <c r="A5" s="4">
        <v>46085</v>
      </c>
      <c r="B5" s="1" t="s">
        <v>12</v>
      </c>
      <c r="C5" s="1" t="s">
        <v>13</v>
      </c>
      <c r="D5" s="1">
        <v>1200</v>
      </c>
      <c r="E5" s="1" t="s">
        <v>14</v>
      </c>
      <c r="F5" s="1" t="str">
        <f>TEXT(Table1[[#This Row],[Date]],"dddd")</f>
        <v>Wednesday</v>
      </c>
    </row>
    <row r="6" spans="1:6" x14ac:dyDescent="0.3">
      <c r="A6" s="4">
        <v>46086</v>
      </c>
      <c r="B6" s="1" t="s">
        <v>15</v>
      </c>
      <c r="C6" s="1" t="s">
        <v>16</v>
      </c>
      <c r="D6" s="1">
        <v>1500</v>
      </c>
      <c r="E6" s="1" t="s">
        <v>7</v>
      </c>
      <c r="F6" s="1" t="str">
        <f>TEXT(Table1[[#This Row],[Date]],"dddd")</f>
        <v>Thursday</v>
      </c>
    </row>
    <row r="7" spans="1:6" x14ac:dyDescent="0.3">
      <c r="A7" s="4">
        <v>46087</v>
      </c>
      <c r="B7" s="1" t="s">
        <v>5</v>
      </c>
      <c r="C7" s="1" t="s">
        <v>17</v>
      </c>
      <c r="D7" s="1">
        <v>250</v>
      </c>
      <c r="E7" s="1" t="s">
        <v>7</v>
      </c>
      <c r="F7" s="1" t="str">
        <f>TEXT(Table1[[#This Row],[Date]],"dddd")</f>
        <v>Friday</v>
      </c>
    </row>
    <row r="8" spans="1:6" x14ac:dyDescent="0.3">
      <c r="A8" s="4">
        <v>46088</v>
      </c>
      <c r="B8" s="1" t="s">
        <v>18</v>
      </c>
      <c r="C8" s="1" t="s">
        <v>19</v>
      </c>
      <c r="D8" s="1">
        <v>300</v>
      </c>
      <c r="E8" s="1" t="s">
        <v>14</v>
      </c>
      <c r="F8" s="1" t="str">
        <f>TEXT(Table1[[#This Row],[Date]],"dddd")</f>
        <v>Saturday</v>
      </c>
    </row>
    <row r="9" spans="1:6" x14ac:dyDescent="0.3">
      <c r="A9" s="4">
        <v>46089</v>
      </c>
      <c r="B9" s="1" t="s">
        <v>5</v>
      </c>
      <c r="C9" s="1" t="s">
        <v>20</v>
      </c>
      <c r="D9" s="1">
        <v>90</v>
      </c>
      <c r="E9" s="1" t="s">
        <v>10</v>
      </c>
      <c r="F9" s="1" t="str">
        <f>TEXT(Table1[[#This Row],[Date]],"dddd")</f>
        <v>Sunday</v>
      </c>
    </row>
    <row r="10" spans="1:6" x14ac:dyDescent="0.3">
      <c r="A10" s="4">
        <v>46090</v>
      </c>
      <c r="B10" s="1" t="s">
        <v>8</v>
      </c>
      <c r="C10" s="1" t="s">
        <v>21</v>
      </c>
      <c r="D10" s="1">
        <v>120</v>
      </c>
      <c r="E10" s="1" t="s">
        <v>10</v>
      </c>
      <c r="F10" s="1" t="str">
        <f>TEXT(Table1[[#This Row],[Date]],"dddd")</f>
        <v>Monday</v>
      </c>
    </row>
    <row r="11" spans="1:6" x14ac:dyDescent="0.3">
      <c r="A11" s="4">
        <v>46091</v>
      </c>
      <c r="B11" s="1" t="s">
        <v>22</v>
      </c>
      <c r="C11" s="1" t="s">
        <v>23</v>
      </c>
      <c r="D11" s="1">
        <v>450</v>
      </c>
      <c r="E11" s="1" t="s">
        <v>7</v>
      </c>
      <c r="F11" s="1" t="str">
        <f>TEXT(Table1[[#This Row],[Date]],"dddd")</f>
        <v>Tuesday</v>
      </c>
    </row>
    <row r="12" spans="1:6" x14ac:dyDescent="0.3">
      <c r="A12" s="4">
        <v>46092</v>
      </c>
      <c r="B12" s="1" t="s">
        <v>5</v>
      </c>
      <c r="C12" s="1" t="s">
        <v>11</v>
      </c>
      <c r="D12" s="1">
        <v>200</v>
      </c>
      <c r="E12" s="1" t="s">
        <v>7</v>
      </c>
      <c r="F12" s="1" t="str">
        <f>TEXT(Table1[[#This Row],[Date]],"dddd")</f>
        <v>Wednesday</v>
      </c>
    </row>
    <row r="13" spans="1:6" x14ac:dyDescent="0.3">
      <c r="A13" s="4">
        <v>46093</v>
      </c>
      <c r="B13" s="1" t="s">
        <v>12</v>
      </c>
      <c r="C13" s="1" t="s">
        <v>24</v>
      </c>
      <c r="D13" s="1">
        <v>850</v>
      </c>
      <c r="E13" s="1" t="s">
        <v>7</v>
      </c>
      <c r="F13" s="1" t="str">
        <f>TEXT(Table1[[#This Row],[Date]],"dddd")</f>
        <v>Thursday</v>
      </c>
    </row>
    <row r="14" spans="1:6" x14ac:dyDescent="0.3">
      <c r="A14" s="4">
        <v>46094</v>
      </c>
      <c r="B14" s="1" t="s">
        <v>15</v>
      </c>
      <c r="C14" s="1" t="s">
        <v>25</v>
      </c>
      <c r="D14" s="1">
        <v>700</v>
      </c>
      <c r="E14" s="1" t="s">
        <v>14</v>
      </c>
      <c r="F14" s="1" t="str">
        <f>TEXT(Table1[[#This Row],[Date]],"dddd")</f>
        <v>Friday</v>
      </c>
    </row>
    <row r="15" spans="1:6" x14ac:dyDescent="0.3">
      <c r="A15" s="4">
        <v>46095</v>
      </c>
      <c r="B15" s="1" t="s">
        <v>5</v>
      </c>
      <c r="C15" s="1" t="s">
        <v>17</v>
      </c>
      <c r="D15" s="1">
        <v>300</v>
      </c>
      <c r="E15" s="1" t="s">
        <v>7</v>
      </c>
      <c r="F15" s="1" t="str">
        <f>TEXT(Table1[[#This Row],[Date]],"dddd")</f>
        <v>Saturday</v>
      </c>
    </row>
    <row r="16" spans="1:6" x14ac:dyDescent="0.3">
      <c r="A16" s="4">
        <v>46096</v>
      </c>
      <c r="B16" s="1" t="s">
        <v>8</v>
      </c>
      <c r="C16" s="1" t="s">
        <v>26</v>
      </c>
      <c r="D16" s="1">
        <v>100</v>
      </c>
      <c r="E16" s="1" t="s">
        <v>14</v>
      </c>
      <c r="F16" s="1" t="str">
        <f>TEXT(Table1[[#This Row],[Date]],"dddd")</f>
        <v>Sunday</v>
      </c>
    </row>
    <row r="17" spans="1:10" x14ac:dyDescent="0.3">
      <c r="A17" s="4">
        <v>46097</v>
      </c>
      <c r="B17" s="1" t="s">
        <v>18</v>
      </c>
      <c r="C17" s="1" t="s">
        <v>27</v>
      </c>
      <c r="D17" s="1">
        <v>499</v>
      </c>
      <c r="E17" s="1" t="s">
        <v>14</v>
      </c>
      <c r="F17" s="1" t="str">
        <f>TEXT(Table1[[#This Row],[Date]],"dddd")</f>
        <v>Monday</v>
      </c>
    </row>
    <row r="18" spans="1:10" x14ac:dyDescent="0.3">
      <c r="A18" s="4">
        <v>46098</v>
      </c>
      <c r="B18" s="1" t="s">
        <v>5</v>
      </c>
      <c r="C18" s="1" t="s">
        <v>6</v>
      </c>
      <c r="D18" s="1">
        <v>110</v>
      </c>
      <c r="E18" s="1" t="s">
        <v>10</v>
      </c>
      <c r="F18" s="1" t="str">
        <f>TEXT(Table1[[#This Row],[Date]],"dddd")</f>
        <v>Tuesday</v>
      </c>
    </row>
    <row r="19" spans="1:10" x14ac:dyDescent="0.3">
      <c r="A19" s="4">
        <v>46099</v>
      </c>
      <c r="B19" s="1" t="s">
        <v>22</v>
      </c>
      <c r="C19" s="1" t="s">
        <v>28</v>
      </c>
      <c r="D19" s="1">
        <v>800</v>
      </c>
      <c r="E19" s="1" t="s">
        <v>7</v>
      </c>
      <c r="F19" s="1" t="str">
        <f>TEXT(Table1[[#This Row],[Date]],"dddd")</f>
        <v>Wednesday</v>
      </c>
    </row>
    <row r="20" spans="1:10" x14ac:dyDescent="0.3">
      <c r="A20" s="4">
        <v>46100</v>
      </c>
      <c r="B20" s="1" t="s">
        <v>5</v>
      </c>
      <c r="C20" s="1" t="s">
        <v>11</v>
      </c>
      <c r="D20" s="1">
        <v>220</v>
      </c>
      <c r="E20" s="1" t="s">
        <v>7</v>
      </c>
      <c r="F20" s="1" t="str">
        <f>TEXT(Table1[[#This Row],[Date]],"dddd")</f>
        <v>Thursday</v>
      </c>
    </row>
    <row r="21" spans="1:10" x14ac:dyDescent="0.3">
      <c r="A21" s="4">
        <v>46101</v>
      </c>
      <c r="B21" s="1" t="s">
        <v>12</v>
      </c>
      <c r="C21" s="1" t="s">
        <v>29</v>
      </c>
      <c r="D21" s="1">
        <v>600</v>
      </c>
      <c r="E21" s="1" t="s">
        <v>14</v>
      </c>
      <c r="F21" s="1" t="str">
        <f>TEXT(Table1[[#This Row],[Date]],"dddd")</f>
        <v>Friday</v>
      </c>
    </row>
    <row r="22" spans="1:10" x14ac:dyDescent="0.3">
      <c r="A22" s="4">
        <v>46102</v>
      </c>
      <c r="B22" s="1" t="s">
        <v>8</v>
      </c>
      <c r="C22" s="1" t="s">
        <v>30</v>
      </c>
      <c r="D22" s="1">
        <v>1000</v>
      </c>
      <c r="E22" s="1" t="s">
        <v>7</v>
      </c>
      <c r="F22" s="1" t="str">
        <f>TEXT(Table1[[#This Row],[Date]],"dddd")</f>
        <v>Saturday</v>
      </c>
    </row>
    <row r="23" spans="1:10" x14ac:dyDescent="0.3">
      <c r="A23" s="4">
        <v>46103</v>
      </c>
      <c r="B23" s="1" t="s">
        <v>5</v>
      </c>
      <c r="C23" s="1" t="s">
        <v>17</v>
      </c>
      <c r="D23" s="1">
        <v>280</v>
      </c>
      <c r="E23" s="1" t="s">
        <v>7</v>
      </c>
      <c r="F23" s="1" t="str">
        <f>TEXT(Table1[[#This Row],[Date]],"dddd")</f>
        <v>Sunday</v>
      </c>
    </row>
    <row r="24" spans="1:10" x14ac:dyDescent="0.3">
      <c r="A24" s="4">
        <v>46104</v>
      </c>
      <c r="B24" s="1" t="s">
        <v>15</v>
      </c>
      <c r="C24" s="1" t="s">
        <v>31</v>
      </c>
      <c r="D24" s="1">
        <v>299</v>
      </c>
      <c r="E24" s="1" t="s">
        <v>7</v>
      </c>
      <c r="F24" s="1" t="str">
        <f>TEXT(Table1[[#This Row],[Date]],"dddd")</f>
        <v>Monday</v>
      </c>
    </row>
    <row r="25" spans="1:10" x14ac:dyDescent="0.3">
      <c r="A25" s="4">
        <v>46105</v>
      </c>
      <c r="B25" s="1" t="s">
        <v>5</v>
      </c>
      <c r="C25" s="1" t="s">
        <v>20</v>
      </c>
      <c r="D25" s="1">
        <v>70</v>
      </c>
      <c r="E25" s="1" t="s">
        <v>10</v>
      </c>
      <c r="F25" s="1" t="str">
        <f>TEXT(Table1[[#This Row],[Date]],"dddd")</f>
        <v>Tuesday</v>
      </c>
    </row>
    <row r="26" spans="1:10" x14ac:dyDescent="0.3">
      <c r="A26" s="4">
        <v>46106</v>
      </c>
      <c r="B26" s="1" t="s">
        <v>18</v>
      </c>
      <c r="C26" s="1" t="s">
        <v>32</v>
      </c>
      <c r="D26" s="1">
        <v>200</v>
      </c>
      <c r="E26" s="1" t="s">
        <v>7</v>
      </c>
      <c r="F26" s="1" t="str">
        <f>TEXT(Table1[[#This Row],[Date]],"dddd")</f>
        <v>Wednesday</v>
      </c>
      <c r="G26" s="3"/>
      <c r="H26" s="2"/>
      <c r="I26" s="2"/>
      <c r="J26" s="2"/>
    </row>
    <row r="27" spans="1:10" x14ac:dyDescent="0.3">
      <c r="A27" s="4">
        <v>46107</v>
      </c>
      <c r="B27" s="1" t="s">
        <v>8</v>
      </c>
      <c r="C27" s="1" t="s">
        <v>33</v>
      </c>
      <c r="D27" s="1">
        <v>350</v>
      </c>
      <c r="E27" s="1" t="s">
        <v>14</v>
      </c>
      <c r="F27" s="1" t="str">
        <f>TEXT(Table1[[#This Row],[Date]],"dddd")</f>
        <v>Thursday</v>
      </c>
      <c r="G27" s="1"/>
      <c r="H27" s="1"/>
      <c r="I27" s="1"/>
      <c r="J27" s="1"/>
    </row>
    <row r="28" spans="1:10" x14ac:dyDescent="0.3">
      <c r="A28" s="4">
        <v>46108</v>
      </c>
      <c r="B28" s="1" t="s">
        <v>5</v>
      </c>
      <c r="C28" s="1" t="s">
        <v>11</v>
      </c>
      <c r="D28" s="1">
        <v>210</v>
      </c>
      <c r="E28" s="1" t="s">
        <v>7</v>
      </c>
      <c r="F28" s="1" t="str">
        <f>TEXT(Table1[[#This Row],[Date]],"dddd")</f>
        <v>Friday</v>
      </c>
    </row>
    <row r="29" spans="1:10" x14ac:dyDescent="0.3">
      <c r="A29" s="4">
        <v>46109</v>
      </c>
      <c r="B29" s="1" t="s">
        <v>12</v>
      </c>
      <c r="C29" s="1" t="s">
        <v>34</v>
      </c>
      <c r="D29" s="1">
        <v>500</v>
      </c>
      <c r="E29" s="1" t="s">
        <v>14</v>
      </c>
      <c r="F29" s="1" t="str">
        <f>TEXT(Table1[[#This Row],[Date]],"dddd")</f>
        <v>Saturday</v>
      </c>
    </row>
    <row r="30" spans="1:10" x14ac:dyDescent="0.3">
      <c r="A30" s="4">
        <v>46110</v>
      </c>
      <c r="B30" s="1" t="s">
        <v>22</v>
      </c>
      <c r="C30" s="1" t="s">
        <v>35</v>
      </c>
      <c r="D30" s="1">
        <v>1200</v>
      </c>
      <c r="E30" s="1" t="s">
        <v>7</v>
      </c>
      <c r="F30" s="1" t="str">
        <f>TEXT(Table1[[#This Row],[Date]],"dddd")</f>
        <v>Sunday</v>
      </c>
    </row>
    <row r="31" spans="1:10" x14ac:dyDescent="0.3">
      <c r="A31" s="4">
        <v>46111</v>
      </c>
      <c r="B31" s="1" t="s">
        <v>5</v>
      </c>
      <c r="C31" s="1" t="s">
        <v>17</v>
      </c>
      <c r="D31" s="1">
        <v>320</v>
      </c>
      <c r="E31" s="1" t="s">
        <v>7</v>
      </c>
      <c r="F31" s="1" t="str">
        <f>TEXT(Table1[[#This Row],[Date]],"dddd")</f>
        <v>Monday</v>
      </c>
    </row>
  </sheetData>
  <pageMargins left="0.75" right="0.75" top="1" bottom="1" header="0.5" footer="0.5"/>
  <pageSetup orientation="portrait" r:id="rId1"/>
  <tableParts count="1">
    <tablePart r:id="rId2"/>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8A6DD3D-EF38-415D-9341-BAA80CAA7DBA}">
  <dimension ref="A1:B32"/>
  <sheetViews>
    <sheetView workbookViewId="0"/>
  </sheetViews>
  <sheetFormatPr defaultRowHeight="14.4" x14ac:dyDescent="0.3"/>
  <cols>
    <col min="1" max="1" width="12.5546875" bestFit="1" customWidth="1"/>
    <col min="2" max="2" width="19.33203125" bestFit="1" customWidth="1"/>
  </cols>
  <sheetData>
    <row r="1" spans="1:2" x14ac:dyDescent="0.3">
      <c r="A1" s="12" t="s">
        <v>40</v>
      </c>
      <c r="B1" t="s">
        <v>41</v>
      </c>
    </row>
    <row r="2" spans="1:2" x14ac:dyDescent="0.3">
      <c r="A2" s="4">
        <v>46082</v>
      </c>
      <c r="B2" s="15">
        <v>120</v>
      </c>
    </row>
    <row r="3" spans="1:2" x14ac:dyDescent="0.3">
      <c r="A3" s="4">
        <v>46083</v>
      </c>
      <c r="B3" s="15">
        <v>50</v>
      </c>
    </row>
    <row r="4" spans="1:2" x14ac:dyDescent="0.3">
      <c r="A4" s="4">
        <v>46084</v>
      </c>
      <c r="B4" s="15">
        <v>180</v>
      </c>
    </row>
    <row r="5" spans="1:2" x14ac:dyDescent="0.3">
      <c r="A5" s="4">
        <v>46085</v>
      </c>
      <c r="B5" s="15">
        <v>1200</v>
      </c>
    </row>
    <row r="6" spans="1:2" x14ac:dyDescent="0.3">
      <c r="A6" s="4">
        <v>46086</v>
      </c>
      <c r="B6" s="15">
        <v>1500</v>
      </c>
    </row>
    <row r="7" spans="1:2" x14ac:dyDescent="0.3">
      <c r="A7" s="4">
        <v>46087</v>
      </c>
      <c r="B7" s="15">
        <v>250</v>
      </c>
    </row>
    <row r="8" spans="1:2" x14ac:dyDescent="0.3">
      <c r="A8" s="4">
        <v>46088</v>
      </c>
      <c r="B8" s="15">
        <v>300</v>
      </c>
    </row>
    <row r="9" spans="1:2" x14ac:dyDescent="0.3">
      <c r="A9" s="4">
        <v>46089</v>
      </c>
      <c r="B9" s="15">
        <v>90</v>
      </c>
    </row>
    <row r="10" spans="1:2" x14ac:dyDescent="0.3">
      <c r="A10" s="4">
        <v>46090</v>
      </c>
      <c r="B10" s="15">
        <v>120</v>
      </c>
    </row>
    <row r="11" spans="1:2" x14ac:dyDescent="0.3">
      <c r="A11" s="4">
        <v>46091</v>
      </c>
      <c r="B11" s="15">
        <v>450</v>
      </c>
    </row>
    <row r="12" spans="1:2" x14ac:dyDescent="0.3">
      <c r="A12" s="4">
        <v>46092</v>
      </c>
      <c r="B12" s="15">
        <v>200</v>
      </c>
    </row>
    <row r="13" spans="1:2" x14ac:dyDescent="0.3">
      <c r="A13" s="4">
        <v>46093</v>
      </c>
      <c r="B13" s="15">
        <v>850</v>
      </c>
    </row>
    <row r="14" spans="1:2" x14ac:dyDescent="0.3">
      <c r="A14" s="4">
        <v>46094</v>
      </c>
      <c r="B14" s="15">
        <v>700</v>
      </c>
    </row>
    <row r="15" spans="1:2" x14ac:dyDescent="0.3">
      <c r="A15" s="4">
        <v>46095</v>
      </c>
      <c r="B15" s="15">
        <v>300</v>
      </c>
    </row>
    <row r="16" spans="1:2" x14ac:dyDescent="0.3">
      <c r="A16" s="4">
        <v>46096</v>
      </c>
      <c r="B16" s="15">
        <v>100</v>
      </c>
    </row>
    <row r="17" spans="1:2" x14ac:dyDescent="0.3">
      <c r="A17" s="4">
        <v>46097</v>
      </c>
      <c r="B17" s="15">
        <v>499</v>
      </c>
    </row>
    <row r="18" spans="1:2" x14ac:dyDescent="0.3">
      <c r="A18" s="4">
        <v>46098</v>
      </c>
      <c r="B18" s="15">
        <v>110</v>
      </c>
    </row>
    <row r="19" spans="1:2" x14ac:dyDescent="0.3">
      <c r="A19" s="4">
        <v>46099</v>
      </c>
      <c r="B19" s="15">
        <v>800</v>
      </c>
    </row>
    <row r="20" spans="1:2" x14ac:dyDescent="0.3">
      <c r="A20" s="4">
        <v>46100</v>
      </c>
      <c r="B20" s="15">
        <v>220</v>
      </c>
    </row>
    <row r="21" spans="1:2" x14ac:dyDescent="0.3">
      <c r="A21" s="4">
        <v>46101</v>
      </c>
      <c r="B21" s="15">
        <v>600</v>
      </c>
    </row>
    <row r="22" spans="1:2" x14ac:dyDescent="0.3">
      <c r="A22" s="4">
        <v>46102</v>
      </c>
      <c r="B22" s="15">
        <v>1000</v>
      </c>
    </row>
    <row r="23" spans="1:2" x14ac:dyDescent="0.3">
      <c r="A23" s="4">
        <v>46103</v>
      </c>
      <c r="B23" s="15">
        <v>280</v>
      </c>
    </row>
    <row r="24" spans="1:2" x14ac:dyDescent="0.3">
      <c r="A24" s="4">
        <v>46104</v>
      </c>
      <c r="B24" s="15">
        <v>299</v>
      </c>
    </row>
    <row r="25" spans="1:2" x14ac:dyDescent="0.3">
      <c r="A25" s="4">
        <v>46105</v>
      </c>
      <c r="B25" s="15">
        <v>70</v>
      </c>
    </row>
    <row r="26" spans="1:2" x14ac:dyDescent="0.3">
      <c r="A26" s="4">
        <v>46106</v>
      </c>
      <c r="B26" s="15">
        <v>200</v>
      </c>
    </row>
    <row r="27" spans="1:2" x14ac:dyDescent="0.3">
      <c r="A27" s="4">
        <v>46107</v>
      </c>
      <c r="B27" s="15">
        <v>350</v>
      </c>
    </row>
    <row r="28" spans="1:2" x14ac:dyDescent="0.3">
      <c r="A28" s="4">
        <v>46108</v>
      </c>
      <c r="B28" s="15">
        <v>210</v>
      </c>
    </row>
    <row r="29" spans="1:2" x14ac:dyDescent="0.3">
      <c r="A29" s="4">
        <v>46109</v>
      </c>
      <c r="B29" s="15">
        <v>500</v>
      </c>
    </row>
    <row r="30" spans="1:2" x14ac:dyDescent="0.3">
      <c r="A30" s="4">
        <v>46110</v>
      </c>
      <c r="B30" s="15">
        <v>1200</v>
      </c>
    </row>
    <row r="31" spans="1:2" x14ac:dyDescent="0.3">
      <c r="A31" s="4">
        <v>46111</v>
      </c>
      <c r="B31" s="15">
        <v>320</v>
      </c>
    </row>
    <row r="32" spans="1:2" x14ac:dyDescent="0.3">
      <c r="A32" s="4" t="s">
        <v>36</v>
      </c>
      <c r="B32" s="15">
        <v>13068</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C7026F4-D241-41C2-B57E-1B0C082D4501}">
  <dimension ref="A1:Q12"/>
  <sheetViews>
    <sheetView showGridLines="0" tabSelected="1" zoomScale="101" zoomScaleNormal="96" workbookViewId="0">
      <selection activeCell="R30" sqref="R30"/>
    </sheetView>
  </sheetViews>
  <sheetFormatPr defaultColWidth="10.77734375" defaultRowHeight="14.4" x14ac:dyDescent="0.3"/>
  <cols>
    <col min="1" max="1" width="13.109375" bestFit="1" customWidth="1"/>
    <col min="2" max="2" width="19" bestFit="1" customWidth="1"/>
  </cols>
  <sheetData>
    <row r="1" spans="1:17" s="14" customFormat="1" ht="14.4" customHeight="1" x14ac:dyDescent="0.3">
      <c r="E1" s="13" t="s">
        <v>39</v>
      </c>
      <c r="F1" s="13"/>
      <c r="G1" s="13"/>
      <c r="H1" s="13"/>
      <c r="I1" s="13"/>
      <c r="J1" s="13"/>
      <c r="K1" s="13"/>
      <c r="L1" s="13"/>
      <c r="M1" s="13"/>
      <c r="N1" s="13"/>
      <c r="O1" s="13"/>
      <c r="P1" s="13"/>
      <c r="Q1" s="13"/>
    </row>
    <row r="2" spans="1:17" s="14" customFormat="1" ht="14.4" customHeight="1" x14ac:dyDescent="0.3">
      <c r="E2" s="13"/>
      <c r="F2" s="13"/>
      <c r="G2" s="13"/>
      <c r="H2" s="13"/>
      <c r="I2" s="13"/>
      <c r="J2" s="13"/>
      <c r="K2" s="13"/>
      <c r="L2" s="13"/>
      <c r="M2" s="13"/>
      <c r="N2" s="13"/>
      <c r="O2" s="13"/>
      <c r="P2" s="13"/>
      <c r="Q2" s="13"/>
    </row>
    <row r="3" spans="1:17" s="14" customFormat="1" ht="14.4" customHeight="1" x14ac:dyDescent="0.3">
      <c r="E3" s="13"/>
      <c r="F3" s="13"/>
      <c r="G3" s="13"/>
      <c r="H3" s="13"/>
      <c r="I3" s="13"/>
      <c r="J3" s="13"/>
      <c r="K3" s="13"/>
      <c r="L3" s="13"/>
      <c r="M3" s="13"/>
      <c r="N3" s="13"/>
      <c r="O3" s="13"/>
      <c r="P3" s="13"/>
      <c r="Q3" s="13"/>
    </row>
    <row r="5" spans="1:17" x14ac:dyDescent="0.3">
      <c r="A5" s="6" t="s">
        <v>1</v>
      </c>
      <c r="B5" s="7" t="s">
        <v>37</v>
      </c>
    </row>
    <row r="6" spans="1:17" x14ac:dyDescent="0.3">
      <c r="A6" s="8" t="s">
        <v>12</v>
      </c>
      <c r="B6" s="9">
        <v>3150</v>
      </c>
    </row>
    <row r="7" spans="1:17" x14ac:dyDescent="0.3">
      <c r="A7" s="8" t="s">
        <v>15</v>
      </c>
      <c r="B7" s="9">
        <v>2499</v>
      </c>
    </row>
    <row r="8" spans="1:17" x14ac:dyDescent="0.3">
      <c r="A8" s="8" t="s">
        <v>22</v>
      </c>
      <c r="B8" s="9">
        <v>2450</v>
      </c>
    </row>
    <row r="9" spans="1:17" x14ac:dyDescent="0.3">
      <c r="A9" s="8" t="s">
        <v>5</v>
      </c>
      <c r="B9" s="9">
        <v>2350</v>
      </c>
    </row>
    <row r="10" spans="1:17" x14ac:dyDescent="0.3">
      <c r="A10" s="8" t="s">
        <v>8</v>
      </c>
      <c r="B10" s="9">
        <v>1620</v>
      </c>
    </row>
    <row r="11" spans="1:17" x14ac:dyDescent="0.3">
      <c r="A11" s="8" t="s">
        <v>18</v>
      </c>
      <c r="B11" s="9">
        <v>999</v>
      </c>
    </row>
    <row r="12" spans="1:17" x14ac:dyDescent="0.3">
      <c r="A12" s="8" t="s">
        <v>36</v>
      </c>
      <c r="B12" s="9">
        <v>13068</v>
      </c>
    </row>
  </sheetData>
  <mergeCells count="5">
    <mergeCell ref="E1:Q3"/>
    <mergeCell ref="R1:R3"/>
    <mergeCell ref="D1:D3"/>
    <mergeCell ref="A1:C3"/>
    <mergeCell ref="S1:XFD3"/>
  </mergeCells>
  <pageMargins left="0.7" right="0.7" top="0.75" bottom="0.75" header="0.3" footer="0.3"/>
  <drawing r:id="rId2"/>
  <extLst>
    <ext xmlns:x14="http://schemas.microsoft.com/office/spreadsheetml/2009/9/main" uri="{A8765BA9-456A-4dab-B4F3-ACF838C121DE}">
      <x14:slicerList>
        <x14:slicer r:id="rId3"/>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Raw_Data</vt:lpstr>
      <vt:lpstr>Analysis</vt:lpstr>
      <vt:lpstr>Dashboard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Rathnaa K</cp:lastModifiedBy>
  <dcterms:created xsi:type="dcterms:W3CDTF">2026-04-14T18:32:07Z</dcterms:created>
  <dcterms:modified xsi:type="dcterms:W3CDTF">2026-09-29T16:52:07Z</dcterms:modified>
</cp:coreProperties>
</file>