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Rathnaa K\Downloads\"/>
    </mc:Choice>
  </mc:AlternateContent>
  <xr:revisionPtr revIDLastSave="0" documentId="13_ncr:1_{B7F6D24C-6A92-4E5D-944B-A8CECC2CD980}" xr6:coauthVersionLast="47" xr6:coauthVersionMax="47" xr10:uidLastSave="{00000000-0000-0000-0000-000000000000}"/>
  <bookViews>
    <workbookView xWindow="-108" yWindow="-108" windowWidth="23256" windowHeight="12456" activeTab="1" xr2:uid="{00000000-000D-0000-FFFF-FFFF00000000}"/>
  </bookViews>
  <sheets>
    <sheet name="Raw_Data" sheetId="1" r:id="rId1"/>
    <sheet name="Analysis" sheetId="5" r:id="rId2"/>
  </sheets>
  <definedNames>
    <definedName name="Slicer_Day">#N/A</definedName>
  </definedNames>
  <calcPr calcId="19102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1" l="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alcChain>
</file>

<file path=xl/sharedStrings.xml><?xml version="1.0" encoding="utf-8"?>
<sst xmlns="http://schemas.openxmlformats.org/spreadsheetml/2006/main" count="106" uniqueCount="40">
  <si>
    <t>Date</t>
  </si>
  <si>
    <t>Category</t>
  </si>
  <si>
    <t>Description</t>
  </si>
  <si>
    <t>Amount (INR)</t>
  </si>
  <si>
    <t>Payment Mode</t>
  </si>
  <si>
    <t>Food</t>
  </si>
  <si>
    <t>Breakfast</t>
  </si>
  <si>
    <t>UPI</t>
  </si>
  <si>
    <t>Transport</t>
  </si>
  <si>
    <t>Bus fare</t>
  </si>
  <si>
    <t>Cash</t>
  </si>
  <si>
    <t>Lunch</t>
  </si>
  <si>
    <t>Shopping</t>
  </si>
  <si>
    <t>Clothes</t>
  </si>
  <si>
    <t>Card</t>
  </si>
  <si>
    <t>Bills</t>
  </si>
  <si>
    <t>Electricity</t>
  </si>
  <si>
    <t>Dinner</t>
  </si>
  <si>
    <t>Entertainment</t>
  </si>
  <si>
    <t>Movie</t>
  </si>
  <si>
    <t>Snacks</t>
  </si>
  <si>
    <t>Auto</t>
  </si>
  <si>
    <t>Health</t>
  </si>
  <si>
    <t>Medicines</t>
  </si>
  <si>
    <t>Groceries</t>
  </si>
  <si>
    <t>Internet</t>
  </si>
  <si>
    <t>Metro</t>
  </si>
  <si>
    <t>Subscription</t>
  </si>
  <si>
    <t>Doctor Visit</t>
  </si>
  <si>
    <t>Accessories</t>
  </si>
  <si>
    <t>Fuel</t>
  </si>
  <si>
    <t>Mobile Recharge</t>
  </si>
  <si>
    <t>Games</t>
  </si>
  <si>
    <t>Cab</t>
  </si>
  <si>
    <t>Books</t>
  </si>
  <si>
    <t>Gym</t>
  </si>
  <si>
    <t>Grand Total</t>
  </si>
  <si>
    <t>Total Spending (INR)</t>
  </si>
  <si>
    <t>Day</t>
  </si>
  <si>
    <t>Personal Expense Analysis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</si>
</sst>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2" formatCode="&quot;₹&quot;\ #,##0"/>
  </numFmts>
  <fonts count="3" x14ac:knownFonts="1">
    <font>
      <sz val="11"/>
      <color theme="1"/>
      <name val="Calibri"/>
      <family val="2"/>
      <scheme val="minor"/>
    </font>
    <font>
      <sz val="11"/>
      <color theme="1"/>
      <name val="Calibri"/>
      <family val="1"/>
      <scheme val="minor"/>
    </font>
    <font>
      <sz val="36"/>
      <color theme="0"/>
      <name val="Cambria"/>
      <family val="1"/>
      <scheme val="major"/>
    </font>
  </fonts>
  <fills count="3">
    <fill>
      <patternFill patternType="none"/>
    </fill>
    <fill>
      <patternFill patternType="gray125"/>
    </fill>
    <fill>
      <patternFill patternType="solid">
        <fgColor theme="3"/>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left"/>
    </xf>
    <xf numFmtId="0" fontId="0" fillId="0" borderId="0" xfId="0" applyAlignment="1">
      <alignment horizontal="center"/>
    </xf>
    <xf numFmtId="0" fontId="1" fillId="0" borderId="0" xfId="0" applyFont="1" applyAlignment="1">
      <alignment horizontal="center"/>
    </xf>
    <xf numFmtId="0" fontId="0" fillId="0" borderId="0" xfId="0" pivotButton="1"/>
    <xf numFmtId="0" fontId="0" fillId="2" borderId="0" xfId="0" applyFill="1" applyAlignment="1">
      <alignment horizontal="center"/>
    </xf>
    <xf numFmtId="0" fontId="2" fillId="2" borderId="0" xfId="0" applyFont="1" applyFill="1" applyAlignment="1">
      <alignment horizontal="left"/>
    </xf>
    <xf numFmtId="172" fontId="0" fillId="0" borderId="0" xfId="0" applyNumberFormat="1"/>
    <xf numFmtId="16" fontId="0" fillId="0" borderId="0" xfId="0" applyNumberFormat="1" applyAlignment="1">
      <alignment horizontal="left"/>
    </xf>
    <xf numFmtId="16" fontId="0" fillId="0" borderId="0" xfId="0" applyNumberFormat="1"/>
  </cellXfs>
  <cellStyles count="1">
    <cellStyle name="Normal" xfId="0" builtinId="0"/>
  </cellStyles>
  <dxfs count="51">
    <dxf>
      <numFmt numFmtId="172" formatCode="&quot;₹&quot;\ #,##0"/>
    </dxf>
    <dxf>
      <numFmt numFmtId="21" formatCode="dd/mmm"/>
      <alignment horizontal="left" vertical="bottom" textRotation="0" wrapText="0" indent="0" justifyLastLine="0" shrinkToFit="0" readingOrder="0"/>
    </dxf>
    <dxf>
      <alignment horizontal="left" vertical="bottom" textRotation="0" wrapText="0" indent="0" justifyLastLine="0" shrinkToFit="0" readingOrder="0"/>
    </dxf>
    <dxf>
      <numFmt numFmtId="172" formatCode="&quot;₹&quot;\ #,##0"/>
    </dxf>
    <dxf>
      <numFmt numFmtId="172" formatCode="&quot;₹&quot;\ #,##0"/>
    </dxf>
    <dxf>
      <numFmt numFmtId="172" formatCode="&quot;₹&quot;\ #,##0"/>
    </dxf>
    <dxf>
      <numFmt numFmtId="172" formatCode="&quot;₹&quot;\ #,##0"/>
    </dxf>
    <dxf>
      <numFmt numFmtId="172" formatCode="&quot;₹&quot;\ #,##0"/>
    </dxf>
    <dxf>
      <numFmt numFmtId="172" formatCode="&quot;₹&quot;\ #,##0"/>
    </dxf>
    <dxf>
      <numFmt numFmtId="172" formatCode="&quot;₹&quot;\ #,##0"/>
    </dxf>
    <dxf>
      <numFmt numFmtId="172" formatCode="&quot;₹&quot;\ #,##0"/>
    </dxf>
    <dxf>
      <numFmt numFmtId="172" formatCode="&quot;₹&quot;\ #,##0"/>
    </dxf>
    <dxf>
      <numFmt numFmtId="172" formatCode="&quot;₹&quot;\ #,##0"/>
    </dxf>
    <dxf>
      <numFmt numFmtId="172" formatCode="&quot;₹&quot;\ #,##0"/>
    </dxf>
    <dxf>
      <numFmt numFmtId="172" formatCode="&quot;₹&quot;\ #,##0"/>
    </dxf>
    <dxf>
      <numFmt numFmtId="172" formatCode="&quot;₹&quot;\ #,##0"/>
    </dxf>
    <dxf>
      <numFmt numFmtId="172" formatCode="&quot;₹&quot;\ #,##0"/>
    </dxf>
    <dxf>
      <numFmt numFmtId="172" formatCode="&quot;₹&quot;\ #,##0"/>
    </dxf>
    <dxf>
      <numFmt numFmtId="172" formatCode="&quot;₹&quot;\ #,##0"/>
    </dxf>
    <dxf>
      <numFmt numFmtId="172" formatCode="&quot;₹&quot;\ #,##0"/>
    </dxf>
    <dxf>
      <numFmt numFmtId="172" formatCode="&quot;₹&quot;\ #,##0"/>
    </dxf>
    <dxf>
      <numFmt numFmtId="172" formatCode="&quot;₹&quot;\ #,##0"/>
    </dxf>
    <dxf>
      <numFmt numFmtId="172" formatCode="&quot;₹&quot;\ #,##0"/>
    </dxf>
    <dxf>
      <numFmt numFmtId="171" formatCode="&quot;₹&quot;\ #,##0.0"/>
    </dxf>
    <dxf>
      <numFmt numFmtId="171" formatCode="&quot;₹&quot;\ #,##0.0"/>
    </dxf>
    <dxf>
      <numFmt numFmtId="170" formatCode="&quot;₹&quot;\ #,##0.00"/>
    </dxf>
    <dxf>
      <numFmt numFmtId="170" formatCode="&quot;₹&quot;\ #,##0.00"/>
    </dxf>
    <dxf>
      <numFmt numFmtId="168" formatCode="_ &quot;₹&quot;\ * #,##0_ ;_ &quot;₹&quot;\ * \-#,##0_ ;_ &quot;₹&quot;\ * &quot;-&quot;??_ ;_ @_ "/>
    </dxf>
    <dxf>
      <numFmt numFmtId="168" formatCode="_ &quot;₹&quot;\ * #,##0_ ;_ &quot;₹&quot;\ * \-#,##0_ ;_ &quot;₹&quot;\ * &quot;-&quot;??_ ;_ @_ "/>
    </dxf>
    <dxf>
      <numFmt numFmtId="167" formatCode="_ &quot;₹&quot;\ * #,##0.0_ ;_ &quot;₹&quot;\ * \-#,##0.0_ ;_ &quot;₹&quot;\ * &quot;-&quot;??_ ;_ @_ "/>
    </dxf>
    <dxf>
      <numFmt numFmtId="167" formatCode="_ &quot;₹&quot;\ * #,##0.0_ ;_ &quot;₹&quot;\ * \-#,##0.0_ ;_ &quot;₹&quot;\ * &quot;-&quot;??_ ;_ @_ "/>
    </dxf>
    <dxf>
      <numFmt numFmtId="34" formatCode="_ &quot;₹&quot;\ * #,##0.00_ ;_ &quot;₹&quot;\ * \-#,##0.00_ ;_ &quot;₹&quot;\ * &quot;-&quot;??_ ;_ @_ "/>
    </dxf>
    <dxf>
      <numFmt numFmtId="34" formatCode="_ &quot;₹&quot;\ * #,##0.00_ ;_ &quot;₹&quot;\ * \-#,##0.00_ ;_ &quot;₹&quot;\ * &quot;-&quot;??_ ;_ @_ "/>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6" formatCode="_ [$₹-4009]\ * #,##0.00_ ;_ [$₹-4009]\ * \-#,##0.00_ ;_ [$₹-4009]\ * &quot;-&quot;??_ ;_ @_ "/>
    </dxf>
    <dxf>
      <numFmt numFmtId="166" formatCode="_ [$₹-4009]\ * #,##0.00_ ;_ [$₹-4009]\ * \-#,##0.00_ ;_ [$₹-4009]\ * &quot;-&quot;??_ ;_ @_ "/>
    </dxf>
    <dxf>
      <numFmt numFmtId="165" formatCode="_ * #,##0_ ;_ * \-#,##0_ ;_ * &quot;-&quot;??_ ;_ @_ "/>
    </dxf>
    <dxf>
      <numFmt numFmtId="165" formatCode="_ * #,##0_ ;_ * \-#,##0_ ;_ * &quot;-&quot;??_ ;_ @_ "/>
    </dxf>
    <dxf>
      <numFmt numFmtId="164" formatCode="_ * #,##0.0_ ;_ * \-#,##0.0_ ;_ * &quot;-&quot;??_ ;_ @_ "/>
    </dxf>
    <dxf>
      <numFmt numFmtId="164" formatCode="_ * #,##0.0_ ;_ * \-#,##0.0_ ;_ * &quot;-&quot;??_ ;_ @_ "/>
    </dxf>
    <dxf>
      <numFmt numFmtId="35" formatCode="_ * #,##0.00_ ;_ * \-#,##0.00_ ;_ * &quot;-&quot;??_ ;_ @_ "/>
    </dxf>
    <dxf>
      <numFmt numFmtId="35" formatCode="_ * #,##0.00_ ;_ * \-#,##0.00_ ;_ * &quot;-&quot;??_ ;_ @_ "/>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[Personal_expense_Analysis.xlsx]Analysis!PivotTable5</c:name>
    <c:fmtId val="2"/>
  </c:pivotSource>
  <c:chart>
    <c:title>
      <c:tx>
        <c:rich>
          <a:bodyPr rot="0" spcFirstLastPara="1" vertOverflow="ellipsis" vert="horz" wrap="square" anchor="ctr" anchorCtr="1"/>
          <a:lstStyle/>
          <a:p>
            <a:pPr>
              <a:defRPr sz="1600" b="1" i="0" u="none" strike="noStrike" kern="1200" cap="all" baseline="0">
                <a:solidFill>
                  <a:schemeClr val="tx2"/>
                </a:solidFill>
                <a:latin typeface="+mn-lt"/>
                <a:ea typeface="+mn-ea"/>
                <a:cs typeface="+mn-cs"/>
              </a:defRPr>
            </a:pPr>
            <a:r>
              <a:rPr lang="en-US" cap="all" baseline="0"/>
              <a:t>Spending by Category</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0"/>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1"/>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2"/>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3"/>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4"/>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5"/>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6"/>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7"/>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8"/>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9"/>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20"/>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21"/>
        <c:spPr>
          <a:gradFill rotWithShape="1">
            <a:gsLst>
              <a:gs pos="0">
                <a:schemeClr val="accent5">
                  <a:tint val="70000"/>
                  <a:shade val="51000"/>
                  <a:satMod val="130000"/>
                </a:schemeClr>
              </a:gs>
              <a:gs pos="80000">
                <a:schemeClr val="accent5">
                  <a:tint val="70000"/>
                  <a:shade val="93000"/>
                  <a:satMod val="130000"/>
                </a:schemeClr>
              </a:gs>
              <a:gs pos="100000">
                <a:schemeClr val="accent5">
                  <a:tint val="70000"/>
                  <a:shade val="94000"/>
                  <a:satMod val="135000"/>
                </a:schemeClr>
              </a:gs>
            </a:gsLst>
            <a:lin ang="16200000" scaled="0"/>
          </a:gradFill>
          <a:ln>
            <a:noFill/>
          </a:ln>
          <a:effectLst>
            <a:outerShdw blurRad="40000" dist="23000" dir="5400000" rotWithShape="0">
              <a:srgbClr val="000000">
                <a:alpha val="35000"/>
              </a:srgbClr>
            </a:outerShdw>
          </a:effectLst>
        </c:spPr>
      </c:pivotFmt>
      <c:pivotFmt>
        <c:idx val="22"/>
        <c:spPr>
          <a:gradFill rotWithShape="1">
            <a:gsLst>
              <a:gs pos="0">
                <a:schemeClr val="accent5">
                  <a:shade val="50000"/>
                  <a:shade val="51000"/>
                  <a:satMod val="130000"/>
                </a:schemeClr>
              </a:gs>
              <a:gs pos="80000">
                <a:schemeClr val="accent5">
                  <a:shade val="50000"/>
                  <a:shade val="93000"/>
                  <a:satMod val="130000"/>
                </a:schemeClr>
              </a:gs>
              <a:gs pos="100000">
                <a:schemeClr val="accent5">
                  <a:shade val="50000"/>
                  <a:shade val="94000"/>
                  <a:satMod val="135000"/>
                </a:schemeClr>
              </a:gs>
            </a:gsLst>
            <a:lin ang="16200000" scaled="0"/>
          </a:gradFill>
          <a:ln>
            <a:noFill/>
          </a:ln>
          <a:effectLst>
            <a:outerShdw blurRad="40000" dist="23000" dir="5400000" rotWithShape="0">
              <a:srgbClr val="000000">
                <a:alpha val="35000"/>
              </a:srgbClr>
            </a:outerShdw>
          </a:effectLst>
        </c:spPr>
      </c:pivotFmt>
      <c:pivotFmt>
        <c:idx val="23"/>
        <c:spPr>
          <a:gradFill rotWithShape="1">
            <a:gsLst>
              <a:gs pos="0">
                <a:schemeClr val="accent5">
                  <a:shade val="90000"/>
                  <a:shade val="51000"/>
                  <a:satMod val="130000"/>
                </a:schemeClr>
              </a:gs>
              <a:gs pos="80000">
                <a:schemeClr val="accent5">
                  <a:shade val="90000"/>
                  <a:shade val="93000"/>
                  <a:satMod val="130000"/>
                </a:schemeClr>
              </a:gs>
              <a:gs pos="100000">
                <a:schemeClr val="accent5">
                  <a:shade val="90000"/>
                  <a:shade val="94000"/>
                  <a:satMod val="135000"/>
                </a:schemeClr>
              </a:gs>
            </a:gsLst>
            <a:lin ang="16200000" scaled="0"/>
          </a:gradFill>
          <a:ln>
            <a:noFill/>
          </a:ln>
          <a:effectLst>
            <a:outerShdw blurRad="40000" dist="23000" dir="5400000" rotWithShape="0">
              <a:srgbClr val="000000">
                <a:alpha val="35000"/>
              </a:srgbClr>
            </a:outerShdw>
          </a:effectLst>
        </c:spPr>
      </c:pivotFmt>
      <c:pivotFmt>
        <c:idx val="24"/>
        <c:spPr>
          <a:gradFill rotWithShape="1">
            <a:gsLst>
              <a:gs pos="0">
                <a:schemeClr val="accent5">
                  <a:tint val="90000"/>
                  <a:shade val="51000"/>
                  <a:satMod val="130000"/>
                </a:schemeClr>
              </a:gs>
              <a:gs pos="80000">
                <a:schemeClr val="accent5">
                  <a:tint val="90000"/>
                  <a:shade val="93000"/>
                  <a:satMod val="130000"/>
                </a:schemeClr>
              </a:gs>
              <a:gs pos="100000">
                <a:schemeClr val="accent5">
                  <a:tint val="90000"/>
                  <a:shade val="94000"/>
                  <a:satMod val="135000"/>
                </a:schemeClr>
              </a:gs>
            </a:gsLst>
            <a:lin ang="16200000" scaled="0"/>
          </a:gradFill>
          <a:ln>
            <a:noFill/>
          </a:ln>
          <a:effectLst>
            <a:outerShdw blurRad="40000" dist="23000" dir="5400000" rotWithShape="0">
              <a:srgbClr val="000000">
                <a:alpha val="35000"/>
              </a:srgbClr>
            </a:outerShdw>
          </a:effectLst>
        </c:spPr>
      </c:pivotFmt>
      <c:pivotFmt>
        <c:idx val="25"/>
        <c:spPr>
          <a:gradFill rotWithShape="1">
            <a:gsLst>
              <a:gs pos="0">
                <a:schemeClr val="accent5">
                  <a:tint val="50000"/>
                  <a:shade val="51000"/>
                  <a:satMod val="130000"/>
                </a:schemeClr>
              </a:gs>
              <a:gs pos="80000">
                <a:schemeClr val="accent5">
                  <a:tint val="50000"/>
                  <a:shade val="93000"/>
                  <a:satMod val="130000"/>
                </a:schemeClr>
              </a:gs>
              <a:gs pos="100000">
                <a:schemeClr val="accent5">
                  <a:tint val="50000"/>
                  <a:shade val="94000"/>
                  <a:satMod val="135000"/>
                </a:schemeClr>
              </a:gs>
            </a:gsLst>
            <a:lin ang="16200000" scaled="0"/>
          </a:gradFill>
          <a:ln>
            <a:noFill/>
          </a:ln>
          <a:effectLst>
            <a:outerShdw blurRad="40000" dist="23000" dir="5400000" rotWithShape="0">
              <a:srgbClr val="000000">
                <a:alpha val="35000"/>
              </a:srgbClr>
            </a:outerShdw>
          </a:effectLst>
        </c:spPr>
      </c:pivotFmt>
      <c:pivotFmt>
        <c:idx val="26"/>
        <c:spPr>
          <a:gradFill rotWithShape="1">
            <a:gsLst>
              <a:gs pos="0">
                <a:schemeClr val="accent5">
                  <a:shade val="70000"/>
                  <a:shade val="51000"/>
                  <a:satMod val="130000"/>
                </a:schemeClr>
              </a:gs>
              <a:gs pos="80000">
                <a:schemeClr val="accent5">
                  <a:shade val="70000"/>
                  <a:shade val="93000"/>
                  <a:satMod val="130000"/>
                </a:schemeClr>
              </a:gs>
              <a:gs pos="100000">
                <a:schemeClr val="accent5">
                  <a:shade val="70000"/>
                  <a:shade val="94000"/>
                  <a:satMod val="135000"/>
                </a:schemeClr>
              </a:gs>
            </a:gsLst>
            <a:lin ang="16200000" scaled="0"/>
          </a:gradFill>
          <a:ln>
            <a:noFill/>
          </a:ln>
          <a:effectLst>
            <a:outerShdw blurRad="40000" dist="23000" dir="5400000" rotWithShape="0">
              <a:srgbClr val="000000">
                <a:alpha val="35000"/>
              </a:srgbClr>
            </a:outerShdw>
          </a:effectLst>
        </c:spPr>
      </c:pivotFmt>
    </c:pivotFmts>
    <c:plotArea>
      <c:layout/>
      <c:doughnutChart>
        <c:varyColors val="1"/>
        <c:ser>
          <c:idx val="0"/>
          <c:order val="0"/>
          <c:tx>
            <c:strRef>
              <c:f>Analysis!$B$6</c:f>
              <c:strCache>
                <c:ptCount val="1"/>
                <c:pt idx="0">
                  <c:v>Total</c:v>
                </c:pt>
              </c:strCache>
            </c:strRef>
          </c:tx>
          <c:dPt>
            <c:idx val="0"/>
            <c:bubble3D val="0"/>
            <c:spPr>
              <a:gradFill rotWithShape="1">
                <a:gsLst>
                  <a:gs pos="0">
                    <a:schemeClr val="accent5">
                      <a:tint val="50000"/>
                      <a:shade val="51000"/>
                      <a:satMod val="130000"/>
                    </a:schemeClr>
                  </a:gs>
                  <a:gs pos="80000">
                    <a:schemeClr val="accent5">
                      <a:tint val="50000"/>
                      <a:shade val="93000"/>
                      <a:satMod val="130000"/>
                    </a:schemeClr>
                  </a:gs>
                  <a:gs pos="100000">
                    <a:schemeClr val="accent5">
                      <a:tint val="50000"/>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F692-49DB-B8A6-F666F7942CFD}"/>
              </c:ext>
            </c:extLst>
          </c:dPt>
          <c:dPt>
            <c:idx val="1"/>
            <c:bubble3D val="0"/>
            <c:spPr>
              <a:gradFill rotWithShape="1">
                <a:gsLst>
                  <a:gs pos="0">
                    <a:schemeClr val="accent5">
                      <a:tint val="70000"/>
                      <a:shade val="51000"/>
                      <a:satMod val="130000"/>
                    </a:schemeClr>
                  </a:gs>
                  <a:gs pos="80000">
                    <a:schemeClr val="accent5">
                      <a:tint val="70000"/>
                      <a:shade val="93000"/>
                      <a:satMod val="130000"/>
                    </a:schemeClr>
                  </a:gs>
                  <a:gs pos="100000">
                    <a:schemeClr val="accent5">
                      <a:tint val="70000"/>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F692-49DB-B8A6-F666F7942CFD}"/>
              </c:ext>
            </c:extLst>
          </c:dPt>
          <c:dPt>
            <c:idx val="2"/>
            <c:bubble3D val="0"/>
            <c:spPr>
              <a:gradFill rotWithShape="1">
                <a:gsLst>
                  <a:gs pos="0">
                    <a:schemeClr val="accent5">
                      <a:tint val="90000"/>
                      <a:shade val="51000"/>
                      <a:satMod val="130000"/>
                    </a:schemeClr>
                  </a:gs>
                  <a:gs pos="80000">
                    <a:schemeClr val="accent5">
                      <a:tint val="90000"/>
                      <a:shade val="93000"/>
                      <a:satMod val="130000"/>
                    </a:schemeClr>
                  </a:gs>
                  <a:gs pos="100000">
                    <a:schemeClr val="accent5">
                      <a:tint val="90000"/>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F692-49DB-B8A6-F666F7942CFD}"/>
              </c:ext>
            </c:extLst>
          </c:dPt>
          <c:dPt>
            <c:idx val="3"/>
            <c:bubble3D val="0"/>
            <c:spPr>
              <a:gradFill rotWithShape="1">
                <a:gsLst>
                  <a:gs pos="0">
                    <a:schemeClr val="accent5">
                      <a:shade val="90000"/>
                      <a:shade val="51000"/>
                      <a:satMod val="130000"/>
                    </a:schemeClr>
                  </a:gs>
                  <a:gs pos="80000">
                    <a:schemeClr val="accent5">
                      <a:shade val="90000"/>
                      <a:shade val="93000"/>
                      <a:satMod val="130000"/>
                    </a:schemeClr>
                  </a:gs>
                  <a:gs pos="100000">
                    <a:schemeClr val="accent5">
                      <a:shade val="90000"/>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7-F692-49DB-B8A6-F666F7942CFD}"/>
              </c:ext>
            </c:extLst>
          </c:dPt>
          <c:dPt>
            <c:idx val="4"/>
            <c:bubble3D val="0"/>
            <c:spPr>
              <a:gradFill rotWithShape="1">
                <a:gsLst>
                  <a:gs pos="0">
                    <a:schemeClr val="accent5">
                      <a:shade val="70000"/>
                      <a:shade val="51000"/>
                      <a:satMod val="130000"/>
                    </a:schemeClr>
                  </a:gs>
                  <a:gs pos="80000">
                    <a:schemeClr val="accent5">
                      <a:shade val="70000"/>
                      <a:shade val="93000"/>
                      <a:satMod val="130000"/>
                    </a:schemeClr>
                  </a:gs>
                  <a:gs pos="100000">
                    <a:schemeClr val="accent5">
                      <a:shade val="70000"/>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9-F692-49DB-B8A6-F666F7942CFD}"/>
              </c:ext>
            </c:extLst>
          </c:dPt>
          <c:dPt>
            <c:idx val="5"/>
            <c:bubble3D val="0"/>
            <c:spPr>
              <a:gradFill rotWithShape="1">
                <a:gsLst>
                  <a:gs pos="0">
                    <a:schemeClr val="accent5">
                      <a:shade val="50000"/>
                      <a:shade val="51000"/>
                      <a:satMod val="130000"/>
                    </a:schemeClr>
                  </a:gs>
                  <a:gs pos="80000">
                    <a:schemeClr val="accent5">
                      <a:shade val="50000"/>
                      <a:shade val="93000"/>
                      <a:satMod val="130000"/>
                    </a:schemeClr>
                  </a:gs>
                  <a:gs pos="100000">
                    <a:schemeClr val="accent5">
                      <a:shade val="50000"/>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B-F692-49DB-B8A6-F666F7942CFD}"/>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Analysis!$A$7:$A$13</c:f>
              <c:strCache>
                <c:ptCount val="6"/>
                <c:pt idx="0">
                  <c:v>Shopping</c:v>
                </c:pt>
                <c:pt idx="1">
                  <c:v>Bills</c:v>
                </c:pt>
                <c:pt idx="2">
                  <c:v>Health</c:v>
                </c:pt>
                <c:pt idx="3">
                  <c:v>Food</c:v>
                </c:pt>
                <c:pt idx="4">
                  <c:v>Transport</c:v>
                </c:pt>
                <c:pt idx="5">
                  <c:v>Entertainment</c:v>
                </c:pt>
              </c:strCache>
            </c:strRef>
          </c:cat>
          <c:val>
            <c:numRef>
              <c:f>Analysis!$B$7:$B$13</c:f>
              <c:numCache>
                <c:formatCode>"₹"\ #,##0</c:formatCode>
                <c:ptCount val="6"/>
                <c:pt idx="0">
                  <c:v>3150</c:v>
                </c:pt>
                <c:pt idx="1">
                  <c:v>2499</c:v>
                </c:pt>
                <c:pt idx="2">
                  <c:v>2450</c:v>
                </c:pt>
                <c:pt idx="3">
                  <c:v>2350</c:v>
                </c:pt>
                <c:pt idx="4">
                  <c:v>1620</c:v>
                </c:pt>
                <c:pt idx="5">
                  <c:v>999</c:v>
                </c:pt>
              </c:numCache>
            </c:numRef>
          </c:val>
          <c:extLst>
            <c:ext xmlns:c16="http://schemas.microsoft.com/office/drawing/2014/chart" uri="{C3380CC4-5D6E-409C-BE32-E72D297353CC}">
              <c16:uniqueId val="{00000000-7B76-46CB-AF61-60219B808F3D}"/>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a:t>Daily</a:t>
            </a:r>
            <a:r>
              <a:rPr lang="en-IN" baseline="0"/>
              <a:t> spending trend</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Raw_Data!$D$1</c:f>
              <c:strCache>
                <c:ptCount val="1"/>
                <c:pt idx="0">
                  <c:v>Amount (INR)</c:v>
                </c:pt>
              </c:strCache>
            </c:strRef>
          </c:tx>
          <c:spPr>
            <a:ln w="22225" cap="rnd">
              <a:solidFill>
                <a:schemeClr val="accent5"/>
              </a:solidFill>
              <a:round/>
            </a:ln>
            <a:effectLst/>
          </c:spPr>
          <c:marker>
            <c:symbol val="diamond"/>
            <c:size val="6"/>
            <c:spPr>
              <a:solidFill>
                <a:schemeClr val="accent5"/>
              </a:solidFill>
              <a:ln w="9525">
                <a:solidFill>
                  <a:schemeClr val="accent5"/>
                </a:solidFill>
                <a:round/>
              </a:ln>
              <a:effectLst/>
            </c:spPr>
          </c:marker>
          <c:cat>
            <c:strRef>
              <c:extLst>
                <c:ext xmlns:c15="http://schemas.microsoft.com/office/drawing/2012/chart" uri="{02D57815-91ED-43cb-92C2-25804820EDAC}">
                  <c15:fullRef>
                    <c15:sqref>Raw_Data!$A:$A</c15:sqref>
                  </c15:fullRef>
                </c:ext>
              </c:extLst>
              <c:f>Raw_Data!$A$2:$A$1048576</c:f>
              <c:strCache>
                <c:ptCount val="30"/>
                <c:pt idx="0">
                  <c:v>01-Mar</c:v>
                </c:pt>
                <c:pt idx="1">
                  <c:v>02-Mar</c:v>
                </c:pt>
                <c:pt idx="2">
                  <c:v>03-Mar</c:v>
                </c:pt>
                <c:pt idx="3">
                  <c:v>04-Mar</c:v>
                </c:pt>
                <c:pt idx="4">
                  <c:v>05-Mar</c:v>
                </c:pt>
                <c:pt idx="5">
                  <c:v>06-Mar</c:v>
                </c:pt>
                <c:pt idx="6">
                  <c:v>07-Mar</c:v>
                </c:pt>
                <c:pt idx="7">
                  <c:v>08-Mar</c:v>
                </c:pt>
                <c:pt idx="8">
                  <c:v>09-Mar</c:v>
                </c:pt>
                <c:pt idx="9">
                  <c:v>10-Mar</c:v>
                </c:pt>
                <c:pt idx="10">
                  <c:v>11-Mar</c:v>
                </c:pt>
                <c:pt idx="11">
                  <c:v>12-Mar</c:v>
                </c:pt>
                <c:pt idx="12">
                  <c:v>13-Mar</c:v>
                </c:pt>
                <c:pt idx="13">
                  <c:v>14-Mar</c:v>
                </c:pt>
                <c:pt idx="14">
                  <c:v>15-Mar</c:v>
                </c:pt>
                <c:pt idx="15">
                  <c:v>16-Mar</c:v>
                </c:pt>
                <c:pt idx="16">
                  <c:v>17-Mar</c:v>
                </c:pt>
                <c:pt idx="17">
                  <c:v>18-Mar</c:v>
                </c:pt>
                <c:pt idx="18">
                  <c:v>19-Mar</c:v>
                </c:pt>
                <c:pt idx="19">
                  <c:v>20-Mar</c:v>
                </c:pt>
                <c:pt idx="20">
                  <c:v>21-Mar</c:v>
                </c:pt>
                <c:pt idx="21">
                  <c:v>22-Mar</c:v>
                </c:pt>
                <c:pt idx="22">
                  <c:v>23-Mar</c:v>
                </c:pt>
                <c:pt idx="23">
                  <c:v>24-Mar</c:v>
                </c:pt>
                <c:pt idx="24">
                  <c:v>25-Mar</c:v>
                </c:pt>
                <c:pt idx="25">
                  <c:v>26-Mar</c:v>
                </c:pt>
                <c:pt idx="26">
                  <c:v>27-Mar</c:v>
                </c:pt>
                <c:pt idx="27">
                  <c:v>28-Mar</c:v>
                </c:pt>
                <c:pt idx="28">
                  <c:v>29-Mar</c:v>
                </c:pt>
                <c:pt idx="29">
                  <c:v>30-Mar</c:v>
                </c:pt>
              </c:strCache>
            </c:strRef>
          </c:cat>
          <c:val>
            <c:numRef>
              <c:extLst>
                <c:ext xmlns:c15="http://schemas.microsoft.com/office/drawing/2012/chart" uri="{02D57815-91ED-43cb-92C2-25804820EDAC}">
                  <c15:fullRef>
                    <c15:sqref>Raw_Data!$D$2:$D$31</c15:sqref>
                  </c15:fullRef>
                </c:ext>
              </c:extLst>
              <c:f>Raw_Data!$D$3:$D$31</c:f>
              <c:numCache>
                <c:formatCode>General</c:formatCode>
                <c:ptCount val="29"/>
                <c:pt idx="0">
                  <c:v>50</c:v>
                </c:pt>
                <c:pt idx="1">
                  <c:v>180</c:v>
                </c:pt>
                <c:pt idx="2">
                  <c:v>1200</c:v>
                </c:pt>
                <c:pt idx="3">
                  <c:v>1500</c:v>
                </c:pt>
                <c:pt idx="4">
                  <c:v>250</c:v>
                </c:pt>
                <c:pt idx="5">
                  <c:v>300</c:v>
                </c:pt>
                <c:pt idx="6">
                  <c:v>90</c:v>
                </c:pt>
                <c:pt idx="7">
                  <c:v>120</c:v>
                </c:pt>
                <c:pt idx="8">
                  <c:v>450</c:v>
                </c:pt>
                <c:pt idx="9">
                  <c:v>200</c:v>
                </c:pt>
                <c:pt idx="10">
                  <c:v>850</c:v>
                </c:pt>
                <c:pt idx="11">
                  <c:v>700</c:v>
                </c:pt>
                <c:pt idx="12">
                  <c:v>300</c:v>
                </c:pt>
                <c:pt idx="13">
                  <c:v>100</c:v>
                </c:pt>
                <c:pt idx="14">
                  <c:v>499</c:v>
                </c:pt>
                <c:pt idx="15">
                  <c:v>110</c:v>
                </c:pt>
                <c:pt idx="16">
                  <c:v>800</c:v>
                </c:pt>
                <c:pt idx="17">
                  <c:v>220</c:v>
                </c:pt>
                <c:pt idx="18">
                  <c:v>600</c:v>
                </c:pt>
                <c:pt idx="19">
                  <c:v>1000</c:v>
                </c:pt>
                <c:pt idx="20">
                  <c:v>280</c:v>
                </c:pt>
                <c:pt idx="21">
                  <c:v>299</c:v>
                </c:pt>
                <c:pt idx="22">
                  <c:v>70</c:v>
                </c:pt>
                <c:pt idx="23">
                  <c:v>200</c:v>
                </c:pt>
                <c:pt idx="24">
                  <c:v>350</c:v>
                </c:pt>
                <c:pt idx="25">
                  <c:v>210</c:v>
                </c:pt>
                <c:pt idx="26">
                  <c:v>500</c:v>
                </c:pt>
                <c:pt idx="27">
                  <c:v>1200</c:v>
                </c:pt>
                <c:pt idx="28">
                  <c:v>320</c:v>
                </c:pt>
              </c:numCache>
            </c:numRef>
          </c:val>
          <c:smooth val="0"/>
          <c:extLst>
            <c:ext xmlns:c16="http://schemas.microsoft.com/office/drawing/2014/chart" uri="{C3380CC4-5D6E-409C-BE32-E72D297353CC}">
              <c16:uniqueId val="{00000000-DAB5-4E5E-B660-2EED417A3F83}"/>
            </c:ext>
          </c:extLst>
        </c:ser>
        <c:dLbls>
          <c:dLblPos val="t"/>
          <c:showLegendKey val="0"/>
          <c:showVal val="0"/>
          <c:showCatName val="0"/>
          <c:showSerName val="0"/>
          <c:showPercent val="0"/>
          <c:showBubbleSize val="0"/>
        </c:dLbls>
        <c:marker val="1"/>
        <c:smooth val="0"/>
        <c:axId val="370325519"/>
        <c:axId val="370326479"/>
      </c:lineChart>
      <c:dateAx>
        <c:axId val="370325519"/>
        <c:scaling>
          <c:orientation val="minMax"/>
        </c:scaling>
        <c:delete val="0"/>
        <c:axPos val="b"/>
        <c:numFmt formatCode="d\-m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370326479"/>
        <c:crosses val="autoZero"/>
        <c:auto val="1"/>
        <c:lblOffset val="100"/>
        <c:baseTimeUnit val="days"/>
      </c:dateAx>
      <c:valAx>
        <c:axId val="370326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0325519"/>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style1.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733425</xdr:colOff>
      <xdr:row>3</xdr:row>
      <xdr:rowOff>171450</xdr:rowOff>
    </xdr:from>
    <xdr:to>
      <xdr:col>10</xdr:col>
      <xdr:colOff>8466</xdr:colOff>
      <xdr:row>19</xdr:row>
      <xdr:rowOff>177801</xdr:rowOff>
    </xdr:to>
    <xdr:graphicFrame macro="">
      <xdr:nvGraphicFramePr>
        <xdr:cNvPr id="4" name="Chart 3">
          <a:extLst>
            <a:ext uri="{FF2B5EF4-FFF2-40B4-BE49-F238E27FC236}">
              <a16:creationId xmlns:a16="http://schemas.microsoft.com/office/drawing/2014/main" id="{1116953E-DCF7-8DD1-1EAE-C20E2AD905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3772</xdr:colOff>
      <xdr:row>4</xdr:row>
      <xdr:rowOff>16933</xdr:rowOff>
    </xdr:from>
    <xdr:to>
      <xdr:col>17</xdr:col>
      <xdr:colOff>736599</xdr:colOff>
      <xdr:row>20</xdr:row>
      <xdr:rowOff>0</xdr:rowOff>
    </xdr:to>
    <xdr:graphicFrame macro="">
      <xdr:nvGraphicFramePr>
        <xdr:cNvPr id="5" name="Chart 4">
          <a:extLst>
            <a:ext uri="{FF2B5EF4-FFF2-40B4-BE49-F238E27FC236}">
              <a16:creationId xmlns:a16="http://schemas.microsoft.com/office/drawing/2014/main" id="{0178176D-E994-42E9-906B-E26910FE5F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19050</xdr:colOff>
      <xdr:row>21</xdr:row>
      <xdr:rowOff>19050</xdr:rowOff>
    </xdr:from>
    <xdr:to>
      <xdr:col>10</xdr:col>
      <xdr:colOff>9525</xdr:colOff>
      <xdr:row>25</xdr:row>
      <xdr:rowOff>177800</xdr:rowOff>
    </xdr:to>
    <xdr:sp macro="" textlink="">
      <xdr:nvSpPr>
        <xdr:cNvPr id="3" name="TextBox 2">
          <a:extLst>
            <a:ext uri="{FF2B5EF4-FFF2-40B4-BE49-F238E27FC236}">
              <a16:creationId xmlns:a16="http://schemas.microsoft.com/office/drawing/2014/main" id="{4D7B3AA0-5960-0957-DC96-87E65DD34CF7}"/>
            </a:ext>
          </a:extLst>
        </xdr:cNvPr>
        <xdr:cNvSpPr txBox="1"/>
      </xdr:nvSpPr>
      <xdr:spPr>
        <a:xfrm>
          <a:off x="3009900" y="3819525"/>
          <a:ext cx="5191125" cy="882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b"/>
          <a:r>
            <a:rPr lang="en-IN" sz="1400" b="1" i="0" u="none" strike="noStrike">
              <a:solidFill>
                <a:schemeClr val="dk1"/>
              </a:solidFill>
              <a:effectLst/>
              <a:latin typeface="+mj-lt"/>
              <a:ea typeface="+mn-ea"/>
              <a:cs typeface="+mn-cs"/>
            </a:rPr>
            <a:t>INSIGHTS: </a:t>
          </a:r>
          <a:endParaRPr lang="en-IN" sz="1100" b="1" i="0" u="none" strike="noStrike">
            <a:solidFill>
              <a:schemeClr val="dk1"/>
            </a:solidFill>
            <a:effectLst/>
            <a:latin typeface="+mj-lt"/>
            <a:ea typeface="+mn-ea"/>
            <a:cs typeface="+mn-cs"/>
          </a:endParaRPr>
        </a:p>
        <a:p>
          <a:pPr marL="171450" indent="-171450">
            <a:buFont typeface="Wingdings" panose="05000000000000000000" pitchFamily="2" charset="2"/>
            <a:buChar char="ü"/>
          </a:pPr>
          <a:r>
            <a:rPr lang="en-IN" sz="1100" b="0" i="0" u="none" strike="noStrike">
              <a:solidFill>
                <a:schemeClr val="dk1"/>
              </a:solidFill>
              <a:effectLst/>
              <a:latin typeface="+mn-lt"/>
              <a:ea typeface="+mn-ea"/>
              <a:cs typeface="+mn-cs"/>
            </a:rPr>
            <a:t>Shopping is the highest spending category contributing 24% of total</a:t>
          </a:r>
          <a:r>
            <a:rPr lang="en-IN" sz="1100" b="0" i="0" u="none" strike="noStrike" baseline="0">
              <a:solidFill>
                <a:schemeClr val="dk1"/>
              </a:solidFill>
              <a:effectLst/>
              <a:latin typeface="+mn-lt"/>
              <a:ea typeface="+mn-ea"/>
              <a:cs typeface="+mn-cs"/>
            </a:rPr>
            <a:t> expenses.</a:t>
          </a:r>
          <a:endParaRPr lang="en-IN">
            <a:effectLst/>
          </a:endParaRPr>
        </a:p>
        <a:p>
          <a:pPr marL="171450" indent="-171450">
            <a:buFont typeface="Wingdings" panose="05000000000000000000" pitchFamily="2" charset="2"/>
            <a:buChar char="ü"/>
          </a:pPr>
          <a:r>
            <a:rPr lang="en-IN" sz="1100" b="0" i="0" u="none" strike="noStrike">
              <a:solidFill>
                <a:schemeClr val="dk1"/>
              </a:solidFill>
              <a:effectLst/>
              <a:latin typeface="+mn-lt"/>
              <a:ea typeface="+mn-ea"/>
              <a:cs typeface="+mn-cs"/>
            </a:rPr>
            <a:t>Entertainment is the lowest spending category.</a:t>
          </a:r>
        </a:p>
        <a:p>
          <a:pPr marL="171450" indent="-171450">
            <a:buFont typeface="Wingdings" panose="05000000000000000000" pitchFamily="2" charset="2"/>
            <a:buChar char="ü"/>
          </a:pPr>
          <a:r>
            <a:rPr lang="en-IN" sz="1100" b="0" i="0" u="none" strike="noStrike">
              <a:solidFill>
                <a:schemeClr val="dk1"/>
              </a:solidFill>
              <a:effectLst/>
              <a:latin typeface="+mn-lt"/>
              <a:ea typeface="+mn-ea"/>
              <a:cs typeface="+mn-cs"/>
            </a:rPr>
            <a:t>Observation: Spending shows fluctuations with some peaks during the week.</a:t>
          </a:r>
          <a:endParaRPr lang="en-IN" sz="1100"/>
        </a:p>
      </xdr:txBody>
    </xdr:sp>
    <xdr:clientData/>
  </xdr:twoCellAnchor>
  <xdr:twoCellAnchor editAs="oneCell">
    <xdr:from>
      <xdr:col>0</xdr:col>
      <xdr:colOff>356982</xdr:colOff>
      <xdr:row>14</xdr:row>
      <xdr:rowOff>126965</xdr:rowOff>
    </xdr:from>
    <xdr:to>
      <xdr:col>2</xdr:col>
      <xdr:colOff>864</xdr:colOff>
      <xdr:row>27</xdr:row>
      <xdr:rowOff>167981</xdr:rowOff>
    </xdr:to>
    <mc:AlternateContent xmlns:mc="http://schemas.openxmlformats.org/markup-compatibility/2006">
      <mc:Choice xmlns:a14="http://schemas.microsoft.com/office/drawing/2010/main" Requires="a14">
        <xdr:graphicFrame macro="">
          <xdr:nvGraphicFramePr>
            <xdr:cNvPr id="2" name="Day">
              <a:extLst>
                <a:ext uri="{FF2B5EF4-FFF2-40B4-BE49-F238E27FC236}">
                  <a16:creationId xmlns:a16="http://schemas.microsoft.com/office/drawing/2014/main" id="{8021448E-A82E-9783-7B62-5E2975ECD8A3}"/>
                </a:ext>
              </a:extLst>
            </xdr:cNvPr>
            <xdr:cNvGraphicFramePr/>
          </xdr:nvGraphicFramePr>
          <xdr:xfrm>
            <a:off x="0" y="0"/>
            <a:ext cx="0" cy="0"/>
          </xdr:xfrm>
          <a:graphic>
            <a:graphicData uri="http://schemas.microsoft.com/office/drawing/2010/slicer">
              <sle:slicer xmlns:sle="http://schemas.microsoft.com/office/drawing/2010/slicer" name="Day"/>
            </a:graphicData>
          </a:graphic>
        </xdr:graphicFrame>
      </mc:Choice>
      <mc:Fallback>
        <xdr:sp macro="" textlink="">
          <xdr:nvSpPr>
            <xdr:cNvPr id="0" name=""/>
            <xdr:cNvSpPr>
              <a:spLocks noTextEdit="1"/>
            </xdr:cNvSpPr>
          </xdr:nvSpPr>
          <xdr:spPr>
            <a:xfrm>
              <a:off x="356982" y="2687285"/>
              <a:ext cx="1823202" cy="241845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thnaa K" refreshedDate="46127.778330555557" createdVersion="8" refreshedVersion="8" minRefreshableVersion="3" recordCount="30" xr:uid="{97525758-462C-49C3-B793-0AB4A4F35637}">
  <cacheSource type="worksheet">
    <worksheetSource name="Table1"/>
  </cacheSource>
  <cacheFields count="6">
    <cacheField name="Date" numFmtId="0">
      <sharedItems/>
    </cacheField>
    <cacheField name="Category" numFmtId="0">
      <sharedItems count="6">
        <s v="Food"/>
        <s v="Transport"/>
        <s v="Shopping"/>
        <s v="Bills"/>
        <s v="Entertainment"/>
        <s v="Health"/>
      </sharedItems>
    </cacheField>
    <cacheField name="Description" numFmtId="0">
      <sharedItems count="22">
        <s v="Breakfast"/>
        <s v="Bus fare"/>
        <s v="Lunch"/>
        <s v="Clothes"/>
        <s v="Electricity"/>
        <s v="Dinner"/>
        <s v="Movie"/>
        <s v="Snacks"/>
        <s v="Auto"/>
        <s v="Medicines"/>
        <s v="Groceries"/>
        <s v="Internet"/>
        <s v="Metro"/>
        <s v="Subscription"/>
        <s v="Doctor Visit"/>
        <s v="Accessories"/>
        <s v="Fuel"/>
        <s v="Mobile Recharge"/>
        <s v="Games"/>
        <s v="Cab"/>
        <s v="Books"/>
        <s v="Gym"/>
      </sharedItems>
    </cacheField>
    <cacheField name="Amount (INR)" numFmtId="0">
      <sharedItems containsSemiMixedTypes="0" containsString="0" containsNumber="1" containsInteger="1" minValue="50" maxValue="1500" count="26">
        <n v="120"/>
        <n v="50"/>
        <n v="180"/>
        <n v="1200"/>
        <n v="1500"/>
        <n v="250"/>
        <n v="300"/>
        <n v="90"/>
        <n v="450"/>
        <n v="200"/>
        <n v="850"/>
        <n v="700"/>
        <n v="100"/>
        <n v="499"/>
        <n v="110"/>
        <n v="800"/>
        <n v="220"/>
        <n v="600"/>
        <n v="1000"/>
        <n v="280"/>
        <n v="299"/>
        <n v="70"/>
        <n v="350"/>
        <n v="210"/>
        <n v="500"/>
        <n v="320"/>
      </sharedItems>
    </cacheField>
    <cacheField name="Payment Mode" numFmtId="0">
      <sharedItems count="3">
        <s v="UPI"/>
        <s v="Cash"/>
        <s v="Card"/>
      </sharedItems>
    </cacheField>
    <cacheField name="Day" numFmtId="0">
      <sharedItems count="7">
        <s v="Sunday"/>
        <s v="Monday"/>
        <s v="Tuesday"/>
        <s v="Wednesday"/>
        <s v="Thursday"/>
        <s v="Friday"/>
        <s v="Saturday"/>
      </sharedItems>
    </cacheField>
  </cacheFields>
  <extLst>
    <ext xmlns:x14="http://schemas.microsoft.com/office/spreadsheetml/2009/9/main" uri="{725AE2AE-9491-48be-B2B4-4EB974FC3084}">
      <x14:pivotCacheDefinition pivotCacheId="135372150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s v="2026-03-01"/>
    <x v="0"/>
    <x v="0"/>
    <x v="0"/>
    <x v="0"/>
    <x v="0"/>
  </r>
  <r>
    <s v="2026-03-02"/>
    <x v="1"/>
    <x v="1"/>
    <x v="1"/>
    <x v="1"/>
    <x v="1"/>
  </r>
  <r>
    <s v="2026-03-03"/>
    <x v="0"/>
    <x v="2"/>
    <x v="2"/>
    <x v="0"/>
    <x v="2"/>
  </r>
  <r>
    <s v="2026-03-04"/>
    <x v="2"/>
    <x v="3"/>
    <x v="3"/>
    <x v="2"/>
    <x v="3"/>
  </r>
  <r>
    <s v="2026-03-05"/>
    <x v="3"/>
    <x v="4"/>
    <x v="4"/>
    <x v="0"/>
    <x v="4"/>
  </r>
  <r>
    <s v="2026-03-06"/>
    <x v="0"/>
    <x v="5"/>
    <x v="5"/>
    <x v="0"/>
    <x v="5"/>
  </r>
  <r>
    <s v="2026-03-07"/>
    <x v="4"/>
    <x v="6"/>
    <x v="6"/>
    <x v="2"/>
    <x v="6"/>
  </r>
  <r>
    <s v="2026-03-08"/>
    <x v="0"/>
    <x v="7"/>
    <x v="7"/>
    <x v="1"/>
    <x v="0"/>
  </r>
  <r>
    <s v="2026-03-09"/>
    <x v="1"/>
    <x v="8"/>
    <x v="0"/>
    <x v="1"/>
    <x v="1"/>
  </r>
  <r>
    <s v="2026-03-10"/>
    <x v="5"/>
    <x v="9"/>
    <x v="8"/>
    <x v="0"/>
    <x v="2"/>
  </r>
  <r>
    <s v="2026-03-11"/>
    <x v="0"/>
    <x v="2"/>
    <x v="9"/>
    <x v="0"/>
    <x v="3"/>
  </r>
  <r>
    <s v="2026-03-12"/>
    <x v="2"/>
    <x v="10"/>
    <x v="10"/>
    <x v="0"/>
    <x v="4"/>
  </r>
  <r>
    <s v="2026-03-13"/>
    <x v="3"/>
    <x v="11"/>
    <x v="11"/>
    <x v="2"/>
    <x v="5"/>
  </r>
  <r>
    <s v="2026-03-14"/>
    <x v="0"/>
    <x v="5"/>
    <x v="6"/>
    <x v="0"/>
    <x v="6"/>
  </r>
  <r>
    <s v="2026-03-15"/>
    <x v="1"/>
    <x v="12"/>
    <x v="12"/>
    <x v="2"/>
    <x v="0"/>
  </r>
  <r>
    <s v="2026-03-16"/>
    <x v="4"/>
    <x v="13"/>
    <x v="13"/>
    <x v="2"/>
    <x v="1"/>
  </r>
  <r>
    <s v="2026-03-17"/>
    <x v="0"/>
    <x v="0"/>
    <x v="14"/>
    <x v="1"/>
    <x v="2"/>
  </r>
  <r>
    <s v="2026-03-18"/>
    <x v="5"/>
    <x v="14"/>
    <x v="15"/>
    <x v="0"/>
    <x v="3"/>
  </r>
  <r>
    <s v="2026-03-19"/>
    <x v="0"/>
    <x v="2"/>
    <x v="16"/>
    <x v="0"/>
    <x v="4"/>
  </r>
  <r>
    <s v="2026-03-20"/>
    <x v="2"/>
    <x v="15"/>
    <x v="17"/>
    <x v="2"/>
    <x v="5"/>
  </r>
  <r>
    <s v="2026-03-21"/>
    <x v="1"/>
    <x v="16"/>
    <x v="18"/>
    <x v="0"/>
    <x v="6"/>
  </r>
  <r>
    <s v="2026-03-22"/>
    <x v="0"/>
    <x v="5"/>
    <x v="19"/>
    <x v="0"/>
    <x v="0"/>
  </r>
  <r>
    <s v="2026-03-23"/>
    <x v="3"/>
    <x v="17"/>
    <x v="20"/>
    <x v="0"/>
    <x v="1"/>
  </r>
  <r>
    <s v="2026-03-24"/>
    <x v="0"/>
    <x v="7"/>
    <x v="21"/>
    <x v="1"/>
    <x v="2"/>
  </r>
  <r>
    <s v="2026-03-25"/>
    <x v="4"/>
    <x v="18"/>
    <x v="9"/>
    <x v="0"/>
    <x v="3"/>
  </r>
  <r>
    <s v="2026-03-26"/>
    <x v="1"/>
    <x v="19"/>
    <x v="22"/>
    <x v="2"/>
    <x v="4"/>
  </r>
  <r>
    <s v="2026-03-27"/>
    <x v="0"/>
    <x v="2"/>
    <x v="23"/>
    <x v="0"/>
    <x v="5"/>
  </r>
  <r>
    <s v="2026-03-28"/>
    <x v="2"/>
    <x v="20"/>
    <x v="24"/>
    <x v="2"/>
    <x v="6"/>
  </r>
  <r>
    <s v="2026-03-29"/>
    <x v="5"/>
    <x v="21"/>
    <x v="3"/>
    <x v="0"/>
    <x v="0"/>
  </r>
  <r>
    <s v="2026-03-30"/>
    <x v="0"/>
    <x v="5"/>
    <x v="25"/>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8AA830-04D5-436D-9F1A-33B3ED394B1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Category" fieldListSortAscending="1">
  <location ref="A6:B13" firstHeaderRow="1" firstDataRow="1" firstDataCol="1"/>
  <pivotFields count="6">
    <pivotField showAll="0"/>
    <pivotField axis="axisRow" showAll="0" sortType="descending">
      <items count="7">
        <item x="3"/>
        <item x="4"/>
        <item x="0"/>
        <item x="5"/>
        <item x="2"/>
        <item x="1"/>
        <item t="default"/>
      </items>
      <autoSortScope>
        <pivotArea dataOnly="0" outline="0" fieldPosition="0">
          <references count="1">
            <reference field="4294967294" count="1" selected="0">
              <x v="0"/>
            </reference>
          </references>
        </pivotArea>
      </autoSortScope>
    </pivotField>
    <pivotField showAll="0">
      <items count="23">
        <item x="15"/>
        <item x="8"/>
        <item x="20"/>
        <item x="0"/>
        <item x="1"/>
        <item x="19"/>
        <item x="3"/>
        <item x="5"/>
        <item x="14"/>
        <item x="4"/>
        <item x="16"/>
        <item x="18"/>
        <item x="10"/>
        <item x="21"/>
        <item x="11"/>
        <item x="2"/>
        <item x="9"/>
        <item x="12"/>
        <item x="17"/>
        <item x="6"/>
        <item x="7"/>
        <item x="13"/>
        <item t="default"/>
      </items>
    </pivotField>
    <pivotField dataField="1" showAll="0">
      <items count="27">
        <item x="1"/>
        <item x="21"/>
        <item x="7"/>
        <item x="12"/>
        <item x="14"/>
        <item x="0"/>
        <item x="2"/>
        <item x="9"/>
        <item x="23"/>
        <item x="16"/>
        <item x="5"/>
        <item x="19"/>
        <item x="20"/>
        <item x="6"/>
        <item x="25"/>
        <item x="22"/>
        <item x="8"/>
        <item x="13"/>
        <item x="24"/>
        <item x="17"/>
        <item x="11"/>
        <item x="15"/>
        <item x="10"/>
        <item x="18"/>
        <item x="3"/>
        <item x="4"/>
        <item t="default"/>
      </items>
    </pivotField>
    <pivotField showAll="0">
      <items count="4">
        <item x="2"/>
        <item x="1"/>
        <item x="0"/>
        <item t="default"/>
      </items>
    </pivotField>
    <pivotField multipleItemSelectionAllowed="1" showAll="0">
      <items count="8">
        <item x="0"/>
        <item x="1"/>
        <item x="2"/>
        <item x="3"/>
        <item x="4"/>
        <item x="5"/>
        <item x="6"/>
        <item t="default"/>
      </items>
    </pivotField>
  </pivotFields>
  <rowFields count="1">
    <field x="1"/>
  </rowFields>
  <rowItems count="7">
    <i>
      <x v="4"/>
    </i>
    <i>
      <x/>
    </i>
    <i>
      <x v="3"/>
    </i>
    <i>
      <x v="2"/>
    </i>
    <i>
      <x v="5"/>
    </i>
    <i>
      <x v="1"/>
    </i>
    <i t="grand">
      <x/>
    </i>
  </rowItems>
  <colItems count="1">
    <i/>
  </colItems>
  <dataFields count="1">
    <dataField name="Total Spending (INR)" fld="3" baseField="1" baseItem="0" numFmtId="172"/>
  </dataFields>
  <formats count="1">
    <format dxfId="22">
      <pivotArea outline="0" collapsedLevelsAreSubtotals="1" fieldPosition="0"/>
    </format>
  </formats>
  <chartFormats count="7">
    <chartFormat chart="2" format="7" series="1">
      <pivotArea type="data" outline="0" fieldPosition="0">
        <references count="1">
          <reference field="4294967294" count="1" selected="0">
            <x v="0"/>
          </reference>
        </references>
      </pivotArea>
    </chartFormat>
    <chartFormat chart="2" format="21">
      <pivotArea type="data" outline="0" fieldPosition="0">
        <references count="2">
          <reference field="4294967294" count="1" selected="0">
            <x v="0"/>
          </reference>
          <reference field="1" count="1" selected="0">
            <x v="0"/>
          </reference>
        </references>
      </pivotArea>
    </chartFormat>
    <chartFormat chart="2" format="22">
      <pivotArea type="data" outline="0" fieldPosition="0">
        <references count="2">
          <reference field="4294967294" count="1" selected="0">
            <x v="0"/>
          </reference>
          <reference field="1" count="1" selected="0">
            <x v="1"/>
          </reference>
        </references>
      </pivotArea>
    </chartFormat>
    <chartFormat chart="2" format="23">
      <pivotArea type="data" outline="0" fieldPosition="0">
        <references count="2">
          <reference field="4294967294" count="1" selected="0">
            <x v="0"/>
          </reference>
          <reference field="1" count="1" selected="0">
            <x v="2"/>
          </reference>
        </references>
      </pivotArea>
    </chartFormat>
    <chartFormat chart="2" format="24">
      <pivotArea type="data" outline="0" fieldPosition="0">
        <references count="2">
          <reference field="4294967294" count="1" selected="0">
            <x v="0"/>
          </reference>
          <reference field="1" count="1" selected="0">
            <x v="3"/>
          </reference>
        </references>
      </pivotArea>
    </chartFormat>
    <chartFormat chart="2" format="25">
      <pivotArea type="data" outline="0" fieldPosition="0">
        <references count="2">
          <reference field="4294967294" count="1" selected="0">
            <x v="0"/>
          </reference>
          <reference field="1" count="1" selected="0">
            <x v="4"/>
          </reference>
        </references>
      </pivotArea>
    </chartFormat>
    <chartFormat chart="2" format="26">
      <pivotArea type="data" outline="0" fieldPosition="0">
        <references count="2">
          <reference field="4294967294" count="1" selected="0">
            <x v="0"/>
          </reference>
          <reference field="1"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 xr10:uid="{26CB9897-0B20-428A-AAF5-68A59B650652}" sourceName="Day">
  <pivotTables>
    <pivotTable tabId="5" name="PivotTable5"/>
  </pivotTables>
  <data>
    <tabular pivotCacheId="1353721506">
      <items count="7">
        <i x="0" s="1"/>
        <i x="1" s="1"/>
        <i x="2" s="1"/>
        <i x="3" s="1"/>
        <i x="4" s="1"/>
        <i x="5"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y" xr10:uid="{47AAEBDF-D9E4-4439-B3D9-3DD83BD1C923}" cache="Slicer_Day" caption="Da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5D1509-99A6-4033-973D-7C7CCBAD6BEB}" name="Table1" displayName="Table1" ref="A1:F31" totalsRowShown="0" headerRowDxfId="50" dataDxfId="49">
  <autoFilter ref="A1:F31" xr:uid="{235D1509-99A6-4033-973D-7C7CCBAD6BEB}"/>
  <tableColumns count="6">
    <tableColumn id="1" xr3:uid="{A7C6435C-D9A7-44D8-8C95-2CE92E5E2904}" name="Date" dataDxfId="1"/>
    <tableColumn id="2" xr3:uid="{A6D28EEA-A76D-4D44-A0CB-953E8281E9A4}" name="Category" dataDxfId="2"/>
    <tableColumn id="3" xr3:uid="{7CD5662E-DADD-4B39-9996-1DAEA80A3CDE}" name="Description" dataDxfId="48"/>
    <tableColumn id="4" xr3:uid="{B09E391B-BB2E-482E-85B2-9841EA6CAF7E}" name="Amount (INR)" dataDxfId="47"/>
    <tableColumn id="5" xr3:uid="{BD4664E9-1AF6-4522-BABD-F91FBFB3A0B2}" name="Payment Mode" dataDxfId="46"/>
    <tableColumn id="6" xr3:uid="{CA9732C9-F34C-4D51-8F04-CC705B99CD3A}" name="Day" dataDxfId="45">
      <calculatedColumnFormula>TEXT(Table1[[#This Row],[Date]],"dddd")</calculatedColumnFormula>
    </tableColumn>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1"/>
  <sheetViews>
    <sheetView zoomScale="90" zoomScaleNormal="90" workbookViewId="0"/>
  </sheetViews>
  <sheetFormatPr defaultRowHeight="14.4" x14ac:dyDescent="0.3"/>
  <cols>
    <col min="1" max="1" width="11.21875" style="9" bestFit="1" customWidth="1"/>
    <col min="2" max="2" width="12.6640625" bestFit="1" customWidth="1"/>
    <col min="3" max="3" width="14.77734375" bestFit="1" customWidth="1"/>
    <col min="4" max="4" width="14.88671875" style="1" bestFit="1" customWidth="1"/>
    <col min="5" max="5" width="16.33203125" bestFit="1" customWidth="1"/>
    <col min="6" max="6" width="11.109375" bestFit="1" customWidth="1"/>
    <col min="7" max="7" width="14.21875" bestFit="1" customWidth="1"/>
    <col min="8" max="8" width="21.88671875" bestFit="1" customWidth="1"/>
    <col min="10" max="10" width="12.6640625" bestFit="1" customWidth="1"/>
    <col min="11" max="11" width="5.5546875" customWidth="1"/>
  </cols>
  <sheetData>
    <row r="1" spans="1:6" x14ac:dyDescent="0.3">
      <c r="A1" s="8" t="s">
        <v>0</v>
      </c>
      <c r="B1" s="1" t="s">
        <v>1</v>
      </c>
      <c r="C1" s="1" t="s">
        <v>2</v>
      </c>
      <c r="D1" s="1" t="s">
        <v>3</v>
      </c>
      <c r="E1" s="1" t="s">
        <v>4</v>
      </c>
      <c r="F1" s="1" t="s">
        <v>38</v>
      </c>
    </row>
    <row r="2" spans="1:6" x14ac:dyDescent="0.3">
      <c r="A2" s="8">
        <v>46082</v>
      </c>
      <c r="B2" s="1" t="s">
        <v>5</v>
      </c>
      <c r="C2" s="1" t="s">
        <v>6</v>
      </c>
      <c r="D2" s="1">
        <v>120</v>
      </c>
      <c r="E2" s="1" t="s">
        <v>7</v>
      </c>
      <c r="F2" s="1" t="str">
        <f>TEXT(Table1[[#This Row],[Date]],"dddd")</f>
        <v>Sunday</v>
      </c>
    </row>
    <row r="3" spans="1:6" x14ac:dyDescent="0.3">
      <c r="A3" s="8">
        <v>46083</v>
      </c>
      <c r="B3" s="1" t="s">
        <v>8</v>
      </c>
      <c r="C3" s="1" t="s">
        <v>9</v>
      </c>
      <c r="D3" s="1">
        <v>50</v>
      </c>
      <c r="E3" s="1" t="s">
        <v>10</v>
      </c>
      <c r="F3" s="1" t="str">
        <f>TEXT(Table1[[#This Row],[Date]],"dddd")</f>
        <v>Monday</v>
      </c>
    </row>
    <row r="4" spans="1:6" x14ac:dyDescent="0.3">
      <c r="A4" s="8">
        <v>46084</v>
      </c>
      <c r="B4" s="1" t="s">
        <v>5</v>
      </c>
      <c r="C4" s="1" t="s">
        <v>11</v>
      </c>
      <c r="D4" s="1">
        <v>180</v>
      </c>
      <c r="E4" s="1" t="s">
        <v>7</v>
      </c>
      <c r="F4" s="1" t="str">
        <f>TEXT(Table1[[#This Row],[Date]],"dddd")</f>
        <v>Tuesday</v>
      </c>
    </row>
    <row r="5" spans="1:6" x14ac:dyDescent="0.3">
      <c r="A5" s="8">
        <v>46085</v>
      </c>
      <c r="B5" s="1" t="s">
        <v>12</v>
      </c>
      <c r="C5" s="1" t="s">
        <v>13</v>
      </c>
      <c r="D5" s="1">
        <v>1200</v>
      </c>
      <c r="E5" s="1" t="s">
        <v>14</v>
      </c>
      <c r="F5" s="1" t="str">
        <f>TEXT(Table1[[#This Row],[Date]],"dddd")</f>
        <v>Wednesday</v>
      </c>
    </row>
    <row r="6" spans="1:6" x14ac:dyDescent="0.3">
      <c r="A6" s="8">
        <v>46086</v>
      </c>
      <c r="B6" s="1" t="s">
        <v>15</v>
      </c>
      <c r="C6" s="1" t="s">
        <v>16</v>
      </c>
      <c r="D6" s="1">
        <v>1500</v>
      </c>
      <c r="E6" s="1" t="s">
        <v>7</v>
      </c>
      <c r="F6" s="1" t="str">
        <f>TEXT(Table1[[#This Row],[Date]],"dddd")</f>
        <v>Thursday</v>
      </c>
    </row>
    <row r="7" spans="1:6" x14ac:dyDescent="0.3">
      <c r="A7" s="8">
        <v>46087</v>
      </c>
      <c r="B7" s="1" t="s">
        <v>5</v>
      </c>
      <c r="C7" s="1" t="s">
        <v>17</v>
      </c>
      <c r="D7" s="1">
        <v>250</v>
      </c>
      <c r="E7" s="1" t="s">
        <v>7</v>
      </c>
      <c r="F7" s="1" t="str">
        <f>TEXT(Table1[[#This Row],[Date]],"dddd")</f>
        <v>Friday</v>
      </c>
    </row>
    <row r="8" spans="1:6" x14ac:dyDescent="0.3">
      <c r="A8" s="8">
        <v>46088</v>
      </c>
      <c r="B8" s="1" t="s">
        <v>18</v>
      </c>
      <c r="C8" s="1" t="s">
        <v>19</v>
      </c>
      <c r="D8" s="1">
        <v>300</v>
      </c>
      <c r="E8" s="1" t="s">
        <v>14</v>
      </c>
      <c r="F8" s="1" t="str">
        <f>TEXT(Table1[[#This Row],[Date]],"dddd")</f>
        <v>Saturday</v>
      </c>
    </row>
    <row r="9" spans="1:6" x14ac:dyDescent="0.3">
      <c r="A9" s="8">
        <v>46089</v>
      </c>
      <c r="B9" s="1" t="s">
        <v>5</v>
      </c>
      <c r="C9" s="1" t="s">
        <v>20</v>
      </c>
      <c r="D9" s="1">
        <v>90</v>
      </c>
      <c r="E9" s="1" t="s">
        <v>10</v>
      </c>
      <c r="F9" s="1" t="str">
        <f>TEXT(Table1[[#This Row],[Date]],"dddd")</f>
        <v>Sunday</v>
      </c>
    </row>
    <row r="10" spans="1:6" x14ac:dyDescent="0.3">
      <c r="A10" s="8">
        <v>46090</v>
      </c>
      <c r="B10" s="1" t="s">
        <v>8</v>
      </c>
      <c r="C10" s="1" t="s">
        <v>21</v>
      </c>
      <c r="D10" s="1">
        <v>120</v>
      </c>
      <c r="E10" s="1" t="s">
        <v>10</v>
      </c>
      <c r="F10" s="1" t="str">
        <f>TEXT(Table1[[#This Row],[Date]],"dddd")</f>
        <v>Monday</v>
      </c>
    </row>
    <row r="11" spans="1:6" x14ac:dyDescent="0.3">
      <c r="A11" s="8">
        <v>46091</v>
      </c>
      <c r="B11" s="1" t="s">
        <v>22</v>
      </c>
      <c r="C11" s="1" t="s">
        <v>23</v>
      </c>
      <c r="D11" s="1">
        <v>450</v>
      </c>
      <c r="E11" s="1" t="s">
        <v>7</v>
      </c>
      <c r="F11" s="1" t="str">
        <f>TEXT(Table1[[#This Row],[Date]],"dddd")</f>
        <v>Tuesday</v>
      </c>
    </row>
    <row r="12" spans="1:6" x14ac:dyDescent="0.3">
      <c r="A12" s="8">
        <v>46092</v>
      </c>
      <c r="B12" s="1" t="s">
        <v>5</v>
      </c>
      <c r="C12" s="1" t="s">
        <v>11</v>
      </c>
      <c r="D12" s="1">
        <v>200</v>
      </c>
      <c r="E12" s="1" t="s">
        <v>7</v>
      </c>
      <c r="F12" s="1" t="str">
        <f>TEXT(Table1[[#This Row],[Date]],"dddd")</f>
        <v>Wednesday</v>
      </c>
    </row>
    <row r="13" spans="1:6" x14ac:dyDescent="0.3">
      <c r="A13" s="8">
        <v>46093</v>
      </c>
      <c r="B13" s="1" t="s">
        <v>12</v>
      </c>
      <c r="C13" s="1" t="s">
        <v>24</v>
      </c>
      <c r="D13" s="1">
        <v>850</v>
      </c>
      <c r="E13" s="1" t="s">
        <v>7</v>
      </c>
      <c r="F13" s="1" t="str">
        <f>TEXT(Table1[[#This Row],[Date]],"dddd")</f>
        <v>Thursday</v>
      </c>
    </row>
    <row r="14" spans="1:6" x14ac:dyDescent="0.3">
      <c r="A14" s="8">
        <v>46094</v>
      </c>
      <c r="B14" s="1" t="s">
        <v>15</v>
      </c>
      <c r="C14" s="1" t="s">
        <v>25</v>
      </c>
      <c r="D14" s="1">
        <v>700</v>
      </c>
      <c r="E14" s="1" t="s">
        <v>14</v>
      </c>
      <c r="F14" s="1" t="str">
        <f>TEXT(Table1[[#This Row],[Date]],"dddd")</f>
        <v>Friday</v>
      </c>
    </row>
    <row r="15" spans="1:6" x14ac:dyDescent="0.3">
      <c r="A15" s="8">
        <v>46095</v>
      </c>
      <c r="B15" s="1" t="s">
        <v>5</v>
      </c>
      <c r="C15" s="1" t="s">
        <v>17</v>
      </c>
      <c r="D15" s="1">
        <v>300</v>
      </c>
      <c r="E15" s="1" t="s">
        <v>7</v>
      </c>
      <c r="F15" s="1" t="str">
        <f>TEXT(Table1[[#This Row],[Date]],"dddd")</f>
        <v>Saturday</v>
      </c>
    </row>
    <row r="16" spans="1:6" x14ac:dyDescent="0.3">
      <c r="A16" s="8">
        <v>46096</v>
      </c>
      <c r="B16" s="1" t="s">
        <v>8</v>
      </c>
      <c r="C16" s="1" t="s">
        <v>26</v>
      </c>
      <c r="D16" s="1">
        <v>100</v>
      </c>
      <c r="E16" s="1" t="s">
        <v>14</v>
      </c>
      <c r="F16" s="1" t="str">
        <f>TEXT(Table1[[#This Row],[Date]],"dddd")</f>
        <v>Sunday</v>
      </c>
    </row>
    <row r="17" spans="1:10" x14ac:dyDescent="0.3">
      <c r="A17" s="8">
        <v>46097</v>
      </c>
      <c r="B17" s="1" t="s">
        <v>18</v>
      </c>
      <c r="C17" s="1" t="s">
        <v>27</v>
      </c>
      <c r="D17" s="1">
        <v>499</v>
      </c>
      <c r="E17" s="1" t="s">
        <v>14</v>
      </c>
      <c r="F17" s="1" t="str">
        <f>TEXT(Table1[[#This Row],[Date]],"dddd")</f>
        <v>Monday</v>
      </c>
    </row>
    <row r="18" spans="1:10" x14ac:dyDescent="0.3">
      <c r="A18" s="8">
        <v>46098</v>
      </c>
      <c r="B18" s="1" t="s">
        <v>5</v>
      </c>
      <c r="C18" s="1" t="s">
        <v>6</v>
      </c>
      <c r="D18" s="1">
        <v>110</v>
      </c>
      <c r="E18" s="1" t="s">
        <v>10</v>
      </c>
      <c r="F18" s="1" t="str">
        <f>TEXT(Table1[[#This Row],[Date]],"dddd")</f>
        <v>Tuesday</v>
      </c>
    </row>
    <row r="19" spans="1:10" x14ac:dyDescent="0.3">
      <c r="A19" s="8">
        <v>46099</v>
      </c>
      <c r="B19" s="1" t="s">
        <v>22</v>
      </c>
      <c r="C19" s="1" t="s">
        <v>28</v>
      </c>
      <c r="D19" s="1">
        <v>800</v>
      </c>
      <c r="E19" s="1" t="s">
        <v>7</v>
      </c>
      <c r="F19" s="1" t="str">
        <f>TEXT(Table1[[#This Row],[Date]],"dddd")</f>
        <v>Wednesday</v>
      </c>
    </row>
    <row r="20" spans="1:10" x14ac:dyDescent="0.3">
      <c r="A20" s="8">
        <v>46100</v>
      </c>
      <c r="B20" s="1" t="s">
        <v>5</v>
      </c>
      <c r="C20" s="1" t="s">
        <v>11</v>
      </c>
      <c r="D20" s="1">
        <v>220</v>
      </c>
      <c r="E20" s="1" t="s">
        <v>7</v>
      </c>
      <c r="F20" s="1" t="str">
        <f>TEXT(Table1[[#This Row],[Date]],"dddd")</f>
        <v>Thursday</v>
      </c>
    </row>
    <row r="21" spans="1:10" x14ac:dyDescent="0.3">
      <c r="A21" s="8">
        <v>46101</v>
      </c>
      <c r="B21" s="1" t="s">
        <v>12</v>
      </c>
      <c r="C21" s="1" t="s">
        <v>29</v>
      </c>
      <c r="D21" s="1">
        <v>600</v>
      </c>
      <c r="E21" s="1" t="s">
        <v>14</v>
      </c>
      <c r="F21" s="1" t="str">
        <f>TEXT(Table1[[#This Row],[Date]],"dddd")</f>
        <v>Friday</v>
      </c>
    </row>
    <row r="22" spans="1:10" x14ac:dyDescent="0.3">
      <c r="A22" s="8">
        <v>46102</v>
      </c>
      <c r="B22" s="1" t="s">
        <v>8</v>
      </c>
      <c r="C22" s="1" t="s">
        <v>30</v>
      </c>
      <c r="D22" s="1">
        <v>1000</v>
      </c>
      <c r="E22" s="1" t="s">
        <v>7</v>
      </c>
      <c r="F22" s="1" t="str">
        <f>TEXT(Table1[[#This Row],[Date]],"dddd")</f>
        <v>Saturday</v>
      </c>
    </row>
    <row r="23" spans="1:10" x14ac:dyDescent="0.3">
      <c r="A23" s="8">
        <v>46103</v>
      </c>
      <c r="B23" s="1" t="s">
        <v>5</v>
      </c>
      <c r="C23" s="1" t="s">
        <v>17</v>
      </c>
      <c r="D23" s="1">
        <v>280</v>
      </c>
      <c r="E23" s="1" t="s">
        <v>7</v>
      </c>
      <c r="F23" s="1" t="str">
        <f>TEXT(Table1[[#This Row],[Date]],"dddd")</f>
        <v>Sunday</v>
      </c>
    </row>
    <row r="24" spans="1:10" x14ac:dyDescent="0.3">
      <c r="A24" s="8">
        <v>46104</v>
      </c>
      <c r="B24" s="1" t="s">
        <v>15</v>
      </c>
      <c r="C24" s="1" t="s">
        <v>31</v>
      </c>
      <c r="D24" s="1">
        <v>299</v>
      </c>
      <c r="E24" s="1" t="s">
        <v>7</v>
      </c>
      <c r="F24" s="1" t="str">
        <f>TEXT(Table1[[#This Row],[Date]],"dddd")</f>
        <v>Monday</v>
      </c>
    </row>
    <row r="25" spans="1:10" x14ac:dyDescent="0.3">
      <c r="A25" s="8">
        <v>46105</v>
      </c>
      <c r="B25" s="1" t="s">
        <v>5</v>
      </c>
      <c r="C25" s="1" t="s">
        <v>20</v>
      </c>
      <c r="D25" s="1">
        <v>70</v>
      </c>
      <c r="E25" s="1" t="s">
        <v>10</v>
      </c>
      <c r="F25" s="1" t="str">
        <f>TEXT(Table1[[#This Row],[Date]],"dddd")</f>
        <v>Tuesday</v>
      </c>
    </row>
    <row r="26" spans="1:10" x14ac:dyDescent="0.3">
      <c r="A26" s="8">
        <v>46106</v>
      </c>
      <c r="B26" s="1" t="s">
        <v>18</v>
      </c>
      <c r="C26" s="1" t="s">
        <v>32</v>
      </c>
      <c r="D26" s="1">
        <v>200</v>
      </c>
      <c r="E26" s="1" t="s">
        <v>7</v>
      </c>
      <c r="F26" s="1" t="str">
        <f>TEXT(Table1[[#This Row],[Date]],"dddd")</f>
        <v>Wednesday</v>
      </c>
      <c r="G26" s="3"/>
      <c r="H26" s="2"/>
      <c r="I26" s="2"/>
      <c r="J26" s="2"/>
    </row>
    <row r="27" spans="1:10" x14ac:dyDescent="0.3">
      <c r="A27" s="8">
        <v>46107</v>
      </c>
      <c r="B27" s="1" t="s">
        <v>8</v>
      </c>
      <c r="C27" s="1" t="s">
        <v>33</v>
      </c>
      <c r="D27" s="1">
        <v>350</v>
      </c>
      <c r="E27" s="1" t="s">
        <v>14</v>
      </c>
      <c r="F27" s="1" t="str">
        <f>TEXT(Table1[[#This Row],[Date]],"dddd")</f>
        <v>Thursday</v>
      </c>
      <c r="G27" s="1"/>
      <c r="H27" s="1"/>
      <c r="I27" s="1"/>
      <c r="J27" s="1"/>
    </row>
    <row r="28" spans="1:10" x14ac:dyDescent="0.3">
      <c r="A28" s="8">
        <v>46108</v>
      </c>
      <c r="B28" s="1" t="s">
        <v>5</v>
      </c>
      <c r="C28" s="1" t="s">
        <v>11</v>
      </c>
      <c r="D28" s="1">
        <v>210</v>
      </c>
      <c r="E28" s="1" t="s">
        <v>7</v>
      </c>
      <c r="F28" s="1" t="str">
        <f>TEXT(Table1[[#This Row],[Date]],"dddd")</f>
        <v>Friday</v>
      </c>
    </row>
    <row r="29" spans="1:10" x14ac:dyDescent="0.3">
      <c r="A29" s="8">
        <v>46109</v>
      </c>
      <c r="B29" s="1" t="s">
        <v>12</v>
      </c>
      <c r="C29" s="1" t="s">
        <v>34</v>
      </c>
      <c r="D29" s="1">
        <v>500</v>
      </c>
      <c r="E29" s="1" t="s">
        <v>14</v>
      </c>
      <c r="F29" s="1" t="str">
        <f>TEXT(Table1[[#This Row],[Date]],"dddd")</f>
        <v>Saturday</v>
      </c>
    </row>
    <row r="30" spans="1:10" x14ac:dyDescent="0.3">
      <c r="A30" s="8">
        <v>46110</v>
      </c>
      <c r="B30" s="1" t="s">
        <v>22</v>
      </c>
      <c r="C30" s="1" t="s">
        <v>35</v>
      </c>
      <c r="D30" s="1">
        <v>1200</v>
      </c>
      <c r="E30" s="1" t="s">
        <v>7</v>
      </c>
      <c r="F30" s="1" t="str">
        <f>TEXT(Table1[[#This Row],[Date]],"dddd")</f>
        <v>Sunday</v>
      </c>
    </row>
    <row r="31" spans="1:10" x14ac:dyDescent="0.3">
      <c r="A31" s="8">
        <v>46111</v>
      </c>
      <c r="B31" s="1" t="s">
        <v>5</v>
      </c>
      <c r="C31" s="1" t="s">
        <v>17</v>
      </c>
      <c r="D31" s="1">
        <v>320</v>
      </c>
      <c r="E31" s="1" t="s">
        <v>7</v>
      </c>
      <c r="F31" s="1" t="str">
        <f>TEXT(Table1[[#This Row],[Date]],"dddd")</f>
        <v>Monday</v>
      </c>
    </row>
  </sheetData>
  <pageMargins left="0.75" right="0.75" top="1" bottom="1" header="0.5" footer="0.5"/>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026F4-D241-41C2-B57E-1B0C082D4501}">
  <dimension ref="A1:Q13"/>
  <sheetViews>
    <sheetView showGridLines="0" tabSelected="1" zoomScaleNormal="100" workbookViewId="0">
      <selection sqref="A1:C3"/>
    </sheetView>
  </sheetViews>
  <sheetFormatPr defaultColWidth="10.77734375" defaultRowHeight="14.4" x14ac:dyDescent="0.3"/>
  <cols>
    <col min="1" max="1" width="12.88671875" bestFit="1" customWidth="1"/>
    <col min="2" max="2" width="18.88671875" bestFit="1" customWidth="1"/>
  </cols>
  <sheetData>
    <row r="1" spans="1:17" s="5" customFormat="1" ht="14.4" customHeight="1" x14ac:dyDescent="0.3">
      <c r="E1" s="6" t="s">
        <v>39</v>
      </c>
      <c r="F1" s="6"/>
      <c r="G1" s="6"/>
      <c r="H1" s="6"/>
      <c r="I1" s="6"/>
      <c r="J1" s="6"/>
      <c r="K1" s="6"/>
      <c r="L1" s="6"/>
      <c r="M1" s="6"/>
      <c r="N1" s="6"/>
      <c r="O1" s="6"/>
      <c r="P1" s="6"/>
      <c r="Q1" s="6"/>
    </row>
    <row r="2" spans="1:17" s="5" customFormat="1" x14ac:dyDescent="0.3">
      <c r="E2" s="6"/>
      <c r="F2" s="6"/>
      <c r="G2" s="6"/>
      <c r="H2" s="6"/>
      <c r="I2" s="6"/>
      <c r="J2" s="6"/>
      <c r="K2" s="6"/>
      <c r="L2" s="6"/>
      <c r="M2" s="6"/>
      <c r="N2" s="6"/>
      <c r="O2" s="6"/>
      <c r="P2" s="6"/>
      <c r="Q2" s="6"/>
    </row>
    <row r="3" spans="1:17" s="5" customFormat="1" x14ac:dyDescent="0.3">
      <c r="E3" s="6"/>
      <c r="F3" s="6"/>
      <c r="G3" s="6"/>
      <c r="H3" s="6"/>
      <c r="I3" s="6"/>
      <c r="J3" s="6"/>
      <c r="K3" s="6"/>
      <c r="L3" s="6"/>
      <c r="M3" s="6"/>
      <c r="N3" s="6"/>
      <c r="O3" s="6"/>
      <c r="P3" s="6"/>
      <c r="Q3" s="6"/>
    </row>
    <row r="6" spans="1:17" x14ac:dyDescent="0.3">
      <c r="A6" s="4" t="s">
        <v>1</v>
      </c>
      <c r="B6" t="s">
        <v>37</v>
      </c>
    </row>
    <row r="7" spans="1:17" x14ac:dyDescent="0.3">
      <c r="A7" s="1" t="s">
        <v>12</v>
      </c>
      <c r="B7" s="7">
        <v>3150</v>
      </c>
    </row>
    <row r="8" spans="1:17" x14ac:dyDescent="0.3">
      <c r="A8" s="1" t="s">
        <v>15</v>
      </c>
      <c r="B8" s="7">
        <v>2499</v>
      </c>
    </row>
    <row r="9" spans="1:17" x14ac:dyDescent="0.3">
      <c r="A9" s="1" t="s">
        <v>22</v>
      </c>
      <c r="B9" s="7">
        <v>2450</v>
      </c>
    </row>
    <row r="10" spans="1:17" x14ac:dyDescent="0.3">
      <c r="A10" s="1" t="s">
        <v>5</v>
      </c>
      <c r="B10" s="7">
        <v>2350</v>
      </c>
    </row>
    <row r="11" spans="1:17" x14ac:dyDescent="0.3">
      <c r="A11" s="1" t="s">
        <v>8</v>
      </c>
      <c r="B11" s="7">
        <v>1620</v>
      </c>
    </row>
    <row r="12" spans="1:17" x14ac:dyDescent="0.3">
      <c r="A12" s="1" t="s">
        <v>18</v>
      </c>
      <c r="B12" s="7">
        <v>999</v>
      </c>
    </row>
    <row r="13" spans="1:17" x14ac:dyDescent="0.3">
      <c r="A13" s="1" t="s">
        <v>36</v>
      </c>
      <c r="B13" s="7">
        <v>13068</v>
      </c>
    </row>
  </sheetData>
  <mergeCells count="5">
    <mergeCell ref="E1:Q3"/>
    <mergeCell ref="R1:R3"/>
    <mergeCell ref="D1:D3"/>
    <mergeCell ref="A1:C3"/>
    <mergeCell ref="S1:XFD3"/>
  </mergeCells>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Raw_Data</vt:lpstr>
      <vt:lpstr>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Rathnaa K</cp:lastModifiedBy>
  <dcterms:created xsi:type="dcterms:W3CDTF">2026-04-14T18:32:07Z</dcterms:created>
  <dcterms:modified xsi:type="dcterms:W3CDTF">2026-04-15T15:54:56Z</dcterms:modified>
</cp:coreProperties>
</file>